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b52b3261a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牛来BOM" sheetId="1" r:id="R4e1df7ef8e52407c"/>
    <x:sheet xmlns:r="http://schemas.openxmlformats.org/officeDocument/2006/relationships" name="比赛物料映射" sheetId="2" r:id="R2878cdfdf399455c"/>
    <x:sheet xmlns:r="http://schemas.openxmlformats.org/officeDocument/2006/relationships" name="采购缺口" sheetId="3" r:id="Rae373c33cd2342a5"/>
    <x:sheet xmlns:r="http://schemas.openxmlformats.org/officeDocument/2006/relationships" name="状态汇总" sheetId="4" r:id="R50d93721629d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¥#,##0.00"/>
  </x:numFmts>
  <x:fonts count="7">
    <x:font>
      <x:sz val="11"/>
      <x:name val="Carlito"/>
    </x:font>
    <x:font>
      <x:b/>
      <x:sz val="18"/>
      <x:color rgb="FFFFFFFF"/>
      <x:name val="Microsoft YaHei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  <x:font>
      <x:b/>
      <x:sz val="12"/>
      <x:color rgb="FF16324F"/>
      <x:name val="Microsoft YaHei"/>
    </x:font>
    <x:font>
      <x:b/>
      <x:sz val="12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2F6690"/>
      </x:patternFill>
    </x:fill>
    <x:fill>
      <x:patternFill patternType="solid">
        <x:fgColor rgb="FFFFFCE8"/>
      </x:patternFill>
    </x:fill>
    <x:fill>
      <x:patternFill patternType="solid">
        <x:fgColor rgb="FFE9F7EF"/>
      </x:patternFill>
    </x:fill>
  </x:fills>
  <x:borders count="5">
    <x:border/>
    <x:border>
      <x:bottom style="thin">
        <x:color rgb="FFCBD5E1"/>
      </x:bottom>
    </x:border>
    <x:border>
      <x:bottom style="medium">
        <x:color rgb="FF16324F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vertical="center" wrapText="1"/>
    </x:xf>
    <x:xf numFmtId="201" fontId="4" fillId="5" borderId="4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1" fontId="4" fillId="5" borderId="1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5" borderId="3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  <x:xf numFmtId="200" fontId="4" fillId="0" borderId="4" xfId="0" applyNumberFormat="1" applyFont="1" applyFill="1" applyBorder="1" applyAlignment="1">
      <x:alignment horizontal="center" vertical="center" wrapText="1"/>
    </x:xf>
    <x:xf numFmtId="201" fontId="4" fillId="5" borderId="4" xfId="0" applyNumberFormat="1" applyFont="1" applyFill="1" applyBorder="1" applyAlignment="1">
      <x:alignment horizontal="center" vertical="center" wrapText="1"/>
    </x:xf>
    <x:xf numFmtId="201" fontId="4" fillId="0" borderId="4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200" fontId="2" fillId="0" borderId="1" xfId="0" applyNumberFormat="1" applyFont="1" applyFill="1" applyBorder="1"/>
    <x:xf numFmtId="200" fontId="2" fillId="0" borderId="3" xfId="0" applyNumberFormat="1" applyFont="1" applyFill="1" applyBorder="1"/>
    <x:xf numFmtId="201" fontId="2" fillId="0" borderId="4" xfId="0" applyNumberFormat="1" applyFont="1" applyFill="1" applyBorder="1"/>
    <x:xf numFmtId="200" fontId="2" fillId="0" borderId="4" xfId="0" applyNumberFormat="1" applyFont="1" applyFill="1" applyBorder="1"/>
    <x:xf numFmtId="200" fontId="2" fillId="6" borderId="1" xfId="0" applyNumberFormat="1" applyFont="1" applyFill="1" applyBorder="1"/>
    <x:xf numFmtId="200" fontId="2" fillId="6" borderId="3" xfId="0" applyNumberFormat="1" applyFont="1" applyFill="1" applyBorder="1"/>
    <x:xf numFmtId="201" fontId="2" fillId="6" borderId="4" xfId="0" applyNumberFormat="1" applyFont="1" applyFill="1" applyBorder="1"/>
    <x:xf numFmtId="200" fontId="5" fillId="6" borderId="1" xfId="0" applyNumberFormat="1" applyFont="1" applyFill="1" applyBorder="1"/>
    <x:xf numFmtId="200" fontId="5" fillId="6" borderId="3" xfId="0" applyNumberFormat="1" applyFont="1" applyFill="1" applyBorder="1"/>
    <x:xf numFmtId="201" fontId="5" fillId="6" borderId="4" xfId="0" applyNumberFormat="1" applyFont="1" applyFill="1" applyBorder="1"/>
    <x:xf numFmtId="200" fontId="5" fillId="6" borderId="1" xfId="0" applyNumberFormat="1" applyFont="1" applyFill="1" applyBorder="1" applyAlignment="1">
      <x:alignment horizontal="right"/>
    </x:xf>
    <x:xf numFmtId="200" fontId="5" fillId="6" borderId="3" xfId="0" applyNumberFormat="1" applyFont="1" applyFill="1" applyBorder="1" applyAlignment="1">
      <x:alignment horizontal="right"/>
    </x:xf>
    <x:xf numFmtId="201" fontId="5" fillId="6" borderId="4" xfId="0" applyNumberFormat="1" applyFont="1" applyFill="1" applyBorder="1" applyAlignment="1">
      <x:alignment horizontal="right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color rgb="FF854D0E"/>
      </x:font>
      <x:fill>
        <x:patternFill patternType="solid">
          <x:bgColor rgb="FFFFF4CC"/>
        </x:patternFill>
      </x:fill>
    </x:dxf>
    <x:dxf>
      <x:font>
        <x:color rgb="FF854D0E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E9F7EF"/>
        </x:patternFill>
      </x:fill>
    </x:dxf>
    <x:dxf>
      <x:font>
        <x:b/>
        <x:color rgb="FF16324F"/>
      </x:font>
      <x:fill>
        <x:patternFill patternType="solid">
          <x:bgColor rgb="FFEAF2F8"/>
        </x:patternFill>
      </x:fill>
    </x:dxf>
    <x:dxf>
      <x:font>
        <x:b/>
        <x:color rgb="FF166534"/>
      </x:font>
      <x:fill>
        <x:patternFill patternType="solid">
          <x:bgColor rgb="FFE9F7EF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color rgb="FF854D0E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70fa08dae403c" /><Relationship Type="http://schemas.openxmlformats.org/officeDocument/2006/relationships/theme" Target="/xl/theme/theme1.xml" Id="R2ca8363ec7614dc1" /><Relationship Type="http://schemas.openxmlformats.org/officeDocument/2006/relationships/sharedStrings" Target="/xl/sharedStrings.xml" Id="R1f77f586703c4608" /><Relationship Type="http://schemas.openxmlformats.org/officeDocument/2006/relationships/worksheet" Target="/xl/worksheets/sheet1.xml" Id="R4e1df7ef8e52407c" /><Relationship Type="http://schemas.openxmlformats.org/officeDocument/2006/relationships/worksheet" Target="/xl/worksheets/sheet2.xml" Id="R2878cdfdf399455c" /><Relationship Type="http://schemas.openxmlformats.org/officeDocument/2006/relationships/worksheet" Target="/xl/worksheets/sheet3.xml" Id="Rae373c33cd2342a5" /><Relationship Type="http://schemas.openxmlformats.org/officeDocument/2006/relationships/worksheet" Target="/xl/worksheets/sheet4.xml" Id="R50d93721629d45fa" /></Relationships>
</file>

<file path=xl/tables/table1.xml><?xml version="1.0" encoding="utf-8"?>
<x:table xmlns:x="http://schemas.openxmlformats.org/spreadsheetml/2006/main" id="1" name="NiulaiBOMTable" displayName="NiulaiBOMTable" ref="A5:R42" headerRowCount="1" totalsRowCount="0" totalsRowShown="0">
  <x:autoFilter ref="A5:R42"/>
  <x:tableColumns count="18">
    <x:tableColumn id="1" name="序号"/>
    <x:tableColumn id="2" name="优先级"/>
    <x:tableColumn id="3" name="子系统"/>
    <x:tableColumn id="4" name="物料/部件"/>
    <x:tableColumn id="5" name="规格/用途"/>
    <x:tableColumn id="6" name="需求数量"/>
    <x:tableColumn id="7" name="已领/已有"/>
    <x:tableColumn id="8" name="待购数量"/>
    <x:tableColumn id="9" name="单位"/>
    <x:tableColumn id="10" name="来源"/>
    <x:tableColumn id="11" name="比赛编号"/>
    <x:tableColumn id="12" name="原图库存"/>
    <x:tableColumn id="13" name="选型状态"/>
    <x:tableColumn id="14" name="预算单价（元）"/>
    <x:tableColumn id="15" name="预算小计（元）"/>
    <x:tableColumn id="16" name="验证门禁"/>
    <x:tableColumn id="17" name="备注"/>
    <x:tableColumn id="18" name="来源证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erialMappingTable" displayName="MaterialMappingTable" ref="A5:H25" headerRowCount="1" totalsRowCount="0" totalsRowShown="0">
  <x:autoFilter ref="A5:H25"/>
  <x:tableColumns count="8">
    <x:tableColumn id="1" name="原图编号"/>
    <x:tableColumn id="2" name="原图名称"/>
    <x:tableColumn id="3" name="原图数量"/>
    <x:tableColumn id="4" name="牛来决策"/>
    <x:tableColumn id="5" name="计划数量"/>
    <x:tableColumn id="6" name="用途"/>
    <x:tableColumn id="7" name="纠错/限制"/>
    <x:tableColumn id="8" name="证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curementGapTable" displayName="ProcurementGapTable" ref="A5:M24" headerRowCount="1" totalsRowCount="0" totalsRowShown="0">
  <x:autoFilter ref="A5:M24"/>
  <x:tableColumns count="13">
    <x:tableColumn id="1" name="序号"/>
    <x:tableColumn id="2" name="缺口类型"/>
    <x:tableColumn id="3" name="子系统"/>
    <x:tableColumn id="4" name="物料"/>
    <x:tableColumn id="5" name="规格"/>
    <x:tableColumn id="6" name="需求数量"/>
    <x:tableColumn id="7" name="已领/已有"/>
    <x:tableColumn id="8" name="待购数量"/>
    <x:tableColumn id="9" name="单位"/>
    <x:tableColumn id="10" name="状态"/>
    <x:tableColumn id="11" name="预算单价（元）"/>
    <x:tableColumn id="12" name="预算小计（元）"/>
    <x:tableColumn id="13" name="验证门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f4f4b8176546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6cb16828e345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032a59fb7724b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7.25" hidden="0" customWidth="1"/>
    <x:col min="3" max="3" width="10.25" hidden="0" customWidth="1"/>
    <x:col min="4" max="4" width="21.25" hidden="0" customWidth="1"/>
    <x:col min="5" max="5" width="35" hidden="0" customWidth="1"/>
    <x:col min="6" max="6" width="8.5" hidden="0" customWidth="1"/>
    <x:col min="7" max="7" width="8.5" hidden="0" customWidth="1"/>
    <x:col min="8" max="8" width="9" hidden="0" customWidth="1"/>
    <x:col min="9" max="9" width="6" hidden="0" customWidth="1"/>
    <x:col min="10" max="10" width="9.5" hidden="0" customWidth="1"/>
    <x:col min="11" max="11" width="11.5" hidden="0" customWidth="1"/>
    <x:col min="12" max="12" width="8.5" hidden="0" customWidth="1"/>
    <x:col min="13" max="13" width="11.75" hidden="0" customWidth="1"/>
    <x:col min="14" max="14" width="11.5" hidden="0" customWidth="1"/>
    <x:col min="15" max="15" width="12" hidden="0" customWidth="1"/>
    <x:col min="16" max="16" width="32.5" hidden="0" customWidth="1"/>
    <x:col min="17" max="17" width="35" hidden="0" customWidth="1"/>
    <x:col min="18" max="18" width="26.25" hidden="0" customWidth="1"/>
  </x:cols>
  <x:sheetData>
    <x:row r="1" ht="28.5" customHeight="1">
      <x:c r="A1" s="4" t="str">
        <x:v>牛来机器人 BOM · v0.1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1" customHeight="1">
      <x:c r="A2" s="10" t="str">
        <x:v>黑客松P0移动原型清单。比赛物料的“待购数量”表示尚未领取/获取；自备与升级件表示待采购。预算单价由团队拿到实物规格或真实报价后填写，空白不计入总额。雷达、电机、驱动、电池和舵机在门禁验证前不得宣称最终冻结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 ht="21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</x:row>
    <x:row r="4" ht="7.5" customHeight="1"/>
    <x:row r="5" ht="25.5" customHeight="1">
      <x:c r="A5" s="17" t="str">
        <x:v>序号</x:v>
      </x:c>
      <x:c r="B5" s="17" t="str">
        <x:v>优先级</x:v>
      </x:c>
      <x:c r="C5" s="17" t="str">
        <x:v>子系统</x:v>
      </x:c>
      <x:c r="D5" s="17" t="str">
        <x:v>物料/部件</x:v>
      </x:c>
      <x:c r="E5" s="17" t="str">
        <x:v>规格/用途</x:v>
      </x:c>
      <x:c r="F5" s="17" t="str">
        <x:v>需求数量</x:v>
      </x:c>
      <x:c r="G5" s="17" t="str">
        <x:v>已领/已有</x:v>
      </x:c>
      <x:c r="H5" s="17" t="str">
        <x:v>待购数量</x:v>
      </x:c>
      <x:c r="I5" s="17" t="str">
        <x:v>单位</x:v>
      </x:c>
      <x:c r="J5" s="17" t="str">
        <x:v>来源</x:v>
      </x:c>
      <x:c r="K5" s="17" t="str">
        <x:v>比赛编号</x:v>
      </x:c>
      <x:c r="L5" s="17" t="str">
        <x:v>原图库存</x:v>
      </x:c>
      <x:c r="M5" s="17" t="str">
        <x:v>选型状态</x:v>
      </x:c>
      <x:c r="N5" s="17" t="str">
        <x:v>预算单价（元）</x:v>
      </x:c>
      <x:c r="O5" s="17" t="str">
        <x:v>预算小计（元）</x:v>
      </x:c>
      <x:c r="P5" s="17" t="str">
        <x:v>验证门禁</x:v>
      </x:c>
      <x:c r="Q5" s="17" t="str">
        <x:v>备注</x:v>
      </x:c>
      <x:c r="R5" s="17" t="str">
        <x:v>来源证据</x:v>
      </x:c>
    </x:row>
    <x:row r="6" ht="39" customHeight="1">
      <x:c r="A6" s="37" t="n">
        <x:v>1</x:v>
      </x:c>
      <x:c r="B6" s="37" t="str">
        <x:v>P0</x:v>
      </x:c>
      <x:c r="C6" s="25" t="str">
        <x:v>主控</x:v>
      </x:c>
      <x:c r="D6" s="25" t="str">
        <x:v>ESP32-S3 核心板 N16R8</x:v>
      </x:c>
      <x:c r="E6" s="25" t="str">
        <x:v>16MB Flash + 8MB PSRAM；到手后复核板载模组与引脚</x:v>
      </x:c>
      <x:c r="F6" s="40" t="n">
        <x:v>1</x:v>
      </x:c>
      <x:c r="G6" s="40" t="n">
        <x:v>0</x:v>
      </x:c>
      <x:c r="H6" s="40" t="n">
        <x:f>MAX(0,F6-G6)</x:f>
        <x:v>1</x:v>
      </x:c>
      <x:c r="I6" s="37" t="str">
        <x:v>块</x:v>
      </x:c>
      <x:c r="J6" s="37" t="str">
        <x:v>比赛物料</x:v>
      </x:c>
      <x:c r="K6" s="37" t="str">
        <x:v>46</x:v>
      </x:c>
      <x:c r="L6" s="40" t="n">
        <x:v>40</x:v>
      </x:c>
      <x:c r="M6" s="37" t="str">
        <x:v>冻结</x:v>
      </x:c>
      <x:c r="N6" s="41"/>
      <x:c r="O6" s="42" t="str">
        <x:f>IF(OR(H6="",N6=""),"",H6*N6)</x:f>
      </x:c>
      <x:c r="P6" s="25" t="str">
        <x:v>G0：拍照记录丝印、供电方式、USB与可用GPIO</x:v>
      </x:c>
      <x:c r="Q6" s="25" t="str">
        <x:v>核心计算与控制板</x:v>
      </x:c>
      <x:c r="R6" s="25" t="str">
        <x:v>黑客松物料表-原图.png；系统架构 §5.1</x:v>
      </x:c>
    </x:row>
    <x:row r="7" ht="39" customHeight="1">
      <x:c r="A7" s="38" t="n">
        <x:v>2</x:v>
      </x:c>
      <x:c r="B7" s="38" t="str">
        <x:v>P0</x:v>
      </x:c>
      <x:c r="C7" s="26" t="str">
        <x:v>移动底盘</x:v>
      </x:c>
      <x:c r="D7" s="26" t="str">
        <x:v>TT 马达</x:v>
      </x:c>
      <x:c r="E7" s="26" t="str">
        <x:v>普通直流减速电机；仅作P0原型候选</x:v>
      </x:c>
      <x:c r="F7" s="43" t="n">
        <x:v>2</x:v>
      </x:c>
      <x:c r="G7" s="43" t="n">
        <x:v>0</x:v>
      </x:c>
      <x:c r="H7" s="43" t="n">
        <x:f>MAX(0,F7-G7)</x:f>
        <x:v>2</x:v>
      </x:c>
      <x:c r="I7" s="38" t="str">
        <x:v>个</x:v>
      </x:c>
      <x:c r="J7" s="38" t="str">
        <x:v>比赛物料</x:v>
      </x:c>
      <x:c r="K7" s="38" t="str">
        <x:v>51</x:v>
      </x:c>
      <x:c r="L7" s="43" t="n">
        <x:v>20</x:v>
      </x:c>
      <x:c r="M7" s="38" t="str">
        <x:v>原型候选</x:v>
      </x:c>
      <x:c r="N7" s="44"/>
      <x:c r="O7" s="45" t="str">
        <x:f>IF(OR(H7="",N7=""),"",H7*N7)</x:f>
      </x:c>
      <x:c r="P7" s="26" t="str">
        <x:v>G1：测额定电压、空载/堵转电流、假负载扭矩与温升</x:v>
      </x:c>
      <x:c r="Q7" s="26" t="str">
        <x:v>最终重量不足则换25GA/37GB；Sim2Real需编码器</x:v>
      </x:c>
      <x:c r="R7" s="26" t="str">
        <x:v>黑客松物料表-原图.png；系统架构 §5.1</x:v>
      </x:c>
    </x:row>
    <x:row r="8" ht="39" customHeight="1">
      <x:c r="A8" s="38" t="n">
        <x:v>3</x:v>
      </x:c>
      <x:c r="B8" s="38" t="str">
        <x:v>P0</x:v>
      </x:c>
      <x:c r="C8" s="26" t="str">
        <x:v>显示</x:v>
      </x:c>
      <x:c r="D8" s="26" t="str">
        <x:v>2.42寸 OLED 屏幕</x:v>
      </x:c>
      <x:c r="E8" s="26" t="str">
        <x:v>双眼共用一块屏；驱动芯片与I2C/SPI接口待确认</x:v>
      </x:c>
      <x:c r="F8" s="43" t="n">
        <x:v>1</x:v>
      </x:c>
      <x:c r="G8" s="43" t="n">
        <x:v>0</x:v>
      </x:c>
      <x:c r="H8" s="43" t="n">
        <x:f>MAX(0,F8-G8)</x:f>
        <x:v>1</x:v>
      </x:c>
      <x:c r="I8" s="38" t="str">
        <x:v>块</x:v>
      </x:c>
      <x:c r="J8" s="38" t="str">
        <x:v>比赛物料</x:v>
      </x:c>
      <x:c r="K8" s="38" t="str">
        <x:v>53</x:v>
      </x:c>
      <x:c r="L8" s="43" t="n">
        <x:v>5</x:v>
      </x:c>
      <x:c r="M8" s="38" t="str">
        <x:v>首选待实测</x:v>
      </x:c>
      <x:c r="N8" s="44"/>
      <x:c r="O8" s="45" t="str">
        <x:f>IF(OR(H8="",N8=""),"",H8*N8)</x:f>
      </x:c>
      <x:c r="P8" s="26" t="str">
        <x:v>G0：确认驱动芯片、电压、接口、刷新率和可视区域</x:v>
      </x:c>
      <x:c r="Q8" s="26" t="str">
        <x:v>数量有限，优先领取</x:v>
      </x:c>
      <x:c r="R8" s="26" t="str">
        <x:v>黑客松物料表-原图.png；系统架构 §5.1</x:v>
      </x:c>
    </x:row>
    <x:row r="9" ht="39" customHeight="1">
      <x:c r="A9" s="38" t="n">
        <x:v>4</x:v>
      </x:c>
      <x:c r="B9" s="38" t="str">
        <x:v>P0</x:v>
      </x:c>
      <x:c r="C9" s="26" t="str">
        <x:v>音频输出</x:v>
      </x:c>
      <x:c r="D9" s="26" t="str">
        <x:v>4Ω喇叭</x:v>
      </x:c>
      <x:c r="E9" s="26" t="str">
        <x:v>与MAX98357A I2S功放配套；额定功率待确认</x:v>
      </x:c>
      <x:c r="F9" s="43" t="n">
        <x:v>1</x:v>
      </x:c>
      <x:c r="G9" s="43" t="n">
        <x:v>0</x:v>
      </x:c>
      <x:c r="H9" s="43" t="n">
        <x:f>MAX(0,F9-G9)</x:f>
        <x:v>1</x:v>
      </x:c>
      <x:c r="I9" s="38" t="str">
        <x:v>个</x:v>
      </x:c>
      <x:c r="J9" s="38" t="str">
        <x:v>比赛物料</x:v>
      </x:c>
      <x:c r="K9" s="38" t="str">
        <x:v>55</x:v>
      </x:c>
      <x:c r="L9" s="43" t="n">
        <x:v>30</x:v>
      </x:c>
      <x:c r="M9" s="38" t="str">
        <x:v>待实测</x:v>
      </x:c>
      <x:c r="N9" s="44"/>
      <x:c r="O9" s="45" t="str">
        <x:f>IF(OR(H9="",N9=""),"",H9*N9)</x:f>
      </x:c>
      <x:c r="P9" s="26" t="str">
        <x:v>G0/G1：确认额定功率；最大音量无破音且不触发棕断</x:v>
      </x:c>
      <x:c r="Q9" s="26" t="str">
        <x:v>ESP32不可直接驱动</x:v>
      </x:c>
      <x:c r="R9" s="26" t="str">
        <x:v>黑客松物料表-原图.png；系统架构 §5.1</x:v>
      </x:c>
    </x:row>
    <x:row r="10" ht="39" customHeight="1">
      <x:c r="A10" s="38" t="n">
        <x:v>5</x:v>
      </x:c>
      <x:c r="B10" s="38" t="str">
        <x:v>P1</x:v>
      </x:c>
      <x:c r="C10" s="26" t="str">
        <x:v>灯效</x:v>
      </x:c>
      <x:c r="D10" s="26" t="str">
        <x:v>WS2812灯带</x:v>
      </x:c>
      <x:c r="E10" s="26" t="str">
        <x:v>状态与情绪灯效；控制线串阻并按长度核算供电</x:v>
      </x:c>
      <x:c r="F10" s="43" t="n">
        <x:v>1</x:v>
      </x:c>
      <x:c r="G10" s="43" t="n">
        <x:v>0</x:v>
      </x:c>
      <x:c r="H10" s="43" t="n">
        <x:f>MAX(0,F10-G10)</x:f>
        <x:v>1</x:v>
      </x:c>
      <x:c r="I10" s="38" t="str">
        <x:v>条</x:v>
      </x:c>
      <x:c r="J10" s="38" t="str">
        <x:v>比赛物料</x:v>
      </x:c>
      <x:c r="K10" s="38" t="str">
        <x:v>57</x:v>
      </x:c>
      <x:c r="L10" s="43" t="n">
        <x:v>40</x:v>
      </x:c>
      <x:c r="M10" s="38" t="str">
        <x:v>P1可选</x:v>
      </x:c>
      <x:c r="N10" s="44"/>
      <x:c r="O10" s="45" t="str">
        <x:f>IF(OR(H10="",N10=""),"",H10*N10)</x:f>
      </x:c>
      <x:c r="P10" s="26" t="str">
        <x:v>G1：全亮峰值电流与音频/电机并发测试</x:v>
      </x:c>
      <x:c r="Q10" s="26" t="str">
        <x:v>P0可先不装</x:v>
      </x:c>
      <x:c r="R10" s="26" t="str">
        <x:v>黑客松物料表-原图.png；系统架构 §5.1</x:v>
      </x:c>
    </x:row>
    <x:row r="11" ht="39" customHeight="1">
      <x:c r="A11" s="38" t="n">
        <x:v>6</x:v>
      </x:c>
      <x:c r="B11" s="38" t="str">
        <x:v>P0</x:v>
      </x:c>
      <x:c r="C11" s="26" t="str">
        <x:v>人员存在检测</x:v>
      </x:c>
      <x:c r="D11" s="26" t="str">
        <x:v>24GHz毫米波雷达（120×120）</x:v>
      </x:c>
      <x:c r="E11" s="26" t="str">
        <x:v>原图描述：运动11m、微动10m；优先候选</x:v>
      </x:c>
      <x:c r="F11" s="43" t="n">
        <x:v>1</x:v>
      </x:c>
      <x:c r="G11" s="43" t="n">
        <x:v>0</x:v>
      </x:c>
      <x:c r="H11" s="43" t="n">
        <x:f>MAX(0,F11-G11)</x:f>
        <x:v>1</x:v>
      </x:c>
      <x:c r="I11" s="38" t="str">
        <x:v>块</x:v>
      </x:c>
      <x:c r="J11" s="38" t="str">
        <x:v>比赛物料</x:v>
      </x:c>
      <x:c r="K11" s="38" t="str">
        <x:v>61</x:v>
      </x:c>
      <x:c r="L11" s="43" t="n">
        <x:v>5</x:v>
      </x:c>
      <x:c r="M11" s="38" t="str">
        <x:v>首选待实测</x:v>
      </x:c>
      <x:c r="N11" s="44"/>
      <x:c r="O11" s="45" t="str">
        <x:f>IF(OR(H11="",N11=""),"",H11*N11)</x:f>
      </x:c>
      <x:c r="P11" s="26" t="str">
        <x:v>G0：确认型号、UART/GPIO、电压、FOV与静止人体检测</x:v>
      </x:c>
      <x:c r="Q11" s="26" t="str">
        <x:v>胸前非金属雷达窗后安装</x:v>
      </x:c>
      <x:c r="R11" s="26" t="str">
        <x:v>黑客松物料表-原图.png；系统架构 §5.1</x:v>
      </x:c>
    </x:row>
    <x:row r="12" ht="39" customHeight="1">
      <x:c r="A12" s="38" t="n">
        <x:v>7</x:v>
      </x:c>
      <x:c r="B12" s="38" t="str">
        <x:v>P0</x:v>
      </x:c>
      <x:c r="C12" s="26" t="str">
        <x:v>人员存在检测</x:v>
      </x:c>
      <x:c r="D12" s="26" t="str">
        <x:v>24GHz毫米波雷达（100°）</x:v>
      </x:c>
      <x:c r="E12" s="26" t="str">
        <x:v>原图描述：16m存在、25m运动；61号不可用时备选</x:v>
      </x:c>
      <x:c r="F12" s="43" t="n">
        <x:v>0</x:v>
      </x:c>
      <x:c r="G12" s="43" t="n">
        <x:v>0</x:v>
      </x:c>
      <x:c r="H12" s="43" t="n">
        <x:f>MAX(0,F12-G12)</x:f>
        <x:v>0</x:v>
      </x:c>
      <x:c r="I12" s="38" t="str">
        <x:v>块</x:v>
      </x:c>
      <x:c r="J12" s="38" t="str">
        <x:v>比赛物料</x:v>
      </x:c>
      <x:c r="K12" s="38" t="str">
        <x:v>60</x:v>
      </x:c>
      <x:c r="L12" s="43" t="n">
        <x:v>3</x:v>
      </x:c>
      <x:c r="M12" s="38" t="str">
        <x:v>备选</x:v>
      </x:c>
      <x:c r="N12" s="44"/>
      <x:c r="O12" s="45" t="str">
        <x:f>IF(OR(H12="",N12=""),"",H12*N12)</x:f>
      </x:c>
      <x:c r="P12" s="26" t="str">
        <x:v>G0：仅在61号不可领或接口不兼容时评估</x:v>
      </x:c>
      <x:c r="Q12" s="26" t="str">
        <x:v>不与61号同时装机</x:v>
      </x:c>
      <x:c r="R12" s="26" t="str">
        <x:v>黑客松物料表-原图.png；系统架构 §5.1</x:v>
      </x:c>
    </x:row>
    <x:row r="13" ht="39" customHeight="1">
      <x:c r="A13" s="38" t="n">
        <x:v>8</x:v>
      </x:c>
      <x:c r="B13" s="38" t="str">
        <x:v>P0</x:v>
      </x:c>
      <x:c r="C13" s="26" t="str">
        <x:v>前向避障</x:v>
      </x:c>
      <x:c r="D13" s="26" t="str">
        <x:v>超声波 HC-SR04</x:v>
      </x:c>
      <x:c r="E13" s="26" t="str">
        <x:v>前方障碍检测；Echo必须做5V→3.3V电平转换</x:v>
      </x:c>
      <x:c r="F13" s="43" t="n">
        <x:v>1</x:v>
      </x:c>
      <x:c r="G13" s="43" t="n">
        <x:v>0</x:v>
      </x:c>
      <x:c r="H13" s="43" t="n">
        <x:f>MAX(0,F13-G13)</x:f>
        <x:v>1</x:v>
      </x:c>
      <x:c r="I13" s="38" t="str">
        <x:v>块</x:v>
      </x:c>
      <x:c r="J13" s="38" t="str">
        <x:v>比赛物料</x:v>
      </x:c>
      <x:c r="K13" s="38" t="str">
        <x:v>67</x:v>
      </x:c>
      <x:c r="L13" s="43" t="n">
        <x:v>10</x:v>
      </x:c>
      <x:c r="M13" s="38" t="str">
        <x:v>冻结</x:v>
      </x:c>
      <x:c r="N13" s="44"/>
      <x:c r="O13" s="45" t="str">
        <x:f>IF(OR(H13="",N13=""),"",H13*N13)</x:f>
      </x:c>
      <x:c r="P13" s="26" t="str">
        <x:v>G1：测盲区、壳体开孔影响与最大速度下停车距离</x:v>
      </x:c>
      <x:c r="Q13" s="26" t="str">
        <x:v>不能作为人员存在检测</x:v>
      </x:c>
      <x:c r="R13" s="26" t="str">
        <x:v>黑客松物料表-原图.png；系统架构 §5.1</x:v>
      </x:c>
    </x:row>
    <x:row r="14" ht="39" customHeight="1">
      <x:c r="A14" s="38" t="n">
        <x:v>9</x:v>
      </x:c>
      <x:c r="B14" s="38" t="str">
        <x:v>P0</x:v>
      </x:c>
      <x:c r="C14" s="26" t="str">
        <x:v>电源</x:v>
      </x:c>
      <x:c r="D14" s="26" t="str">
        <x:v>MP1584EN降压模块</x:v>
      </x:c>
      <x:c r="E14" s="26" t="str">
        <x:v>逻辑/音频、舵机、电机分路候选；具体路数按实测调整</x:v>
      </x:c>
      <x:c r="F14" s="43" t="n">
        <x:v>3</x:v>
      </x:c>
      <x:c r="G14" s="43" t="n">
        <x:v>0</x:v>
      </x:c>
      <x:c r="H14" s="43" t="n">
        <x:f>MAX(0,F14-G14)</x:f>
        <x:v>3</x:v>
      </x:c>
      <x:c r="I14" s="38" t="str">
        <x:v>块</x:v>
      </x:c>
      <x:c r="J14" s="38" t="str">
        <x:v>比赛物料</x:v>
      </x:c>
      <x:c r="K14" s="38" t="str">
        <x:v>40</x:v>
      </x:c>
      <x:c r="L14" s="43" t="n">
        <x:v>33</x:v>
      </x:c>
      <x:c r="M14" s="38" t="str">
        <x:v>首选待实测</x:v>
      </x:c>
      <x:c r="N14" s="44"/>
      <x:c r="O14" s="45" t="str">
        <x:f>IF(OR(H14="",N14=""),"",H14*N14)</x:f>
      </x:c>
      <x:c r="P14" s="26" t="str">
        <x:v>G1：逐路测持续/峰值电流、纹波、温升与棕断</x:v>
      </x:c>
      <x:c r="Q14" s="26" t="str">
        <x:v>共地但负载分域；禁止从ESP32板给电机供电</x:v>
      </x:c>
      <x:c r="R14" s="26" t="str">
        <x:v>黑客松物料表-原图.png；系统架构 §5.1</x:v>
      </x:c>
    </x:row>
    <x:row r="15" ht="39" customHeight="1">
      <x:c r="A15" s="38" t="n">
        <x:v>10</x:v>
      </x:c>
      <x:c r="B15" s="38" t="str">
        <x:v>P1</x:v>
      </x:c>
      <x:c r="C15" s="26" t="str">
        <x:v>日志存储</x:v>
      </x:c>
      <x:c r="D15" s="26" t="str">
        <x:v>SD卡读卡模块</x:v>
      </x:c>
      <x:c r="E15" s="26" t="str">
        <x:v>P1结构化事件日志；P0先用串口/RAM环形日志</x:v>
      </x:c>
      <x:c r="F15" s="43" t="n">
        <x:v>1</x:v>
      </x:c>
      <x:c r="G15" s="43" t="n">
        <x:v>0</x:v>
      </x:c>
      <x:c r="H15" s="43" t="n">
        <x:f>MAX(0,F15-G15)</x:f>
        <x:v>1</x:v>
      </x:c>
      <x:c r="I15" s="38" t="str">
        <x:v>块</x:v>
      </x:c>
      <x:c r="J15" s="38" t="str">
        <x:v>比赛物料</x:v>
      </x:c>
      <x:c r="K15" s="38" t="str">
        <x:v>41</x:v>
      </x:c>
      <x:c r="L15" s="43" t="n">
        <x:v>33</x:v>
      </x:c>
      <x:c r="M15" s="38" t="str">
        <x:v>P1可选</x:v>
      </x:c>
      <x:c r="N15" s="44"/>
      <x:c r="O15" s="45" t="str">
        <x:f>IF(OR(H15="",N15=""),"",H15*N15)</x:f>
      </x:c>
      <x:c r="P15" s="26" t="str">
        <x:v>G2：连续写入、掉电恢复与写满轮转测试</x:v>
      </x:c>
      <x:c r="Q15" s="26" t="str">
        <x:v>不默认存原始音频或图像</x:v>
      </x:c>
      <x:c r="R15" s="26" t="str">
        <x:v>黑客松物料表-原图.png；系统架构 §5.1</x:v>
      </x:c>
    </x:row>
    <x:row r="16" ht="39" customHeight="1">
      <x:c r="A16" s="38" t="n">
        <x:v>11</x:v>
      </x:c>
      <x:c r="B16" s="38" t="str">
        <x:v>P0</x:v>
      </x:c>
      <x:c r="C16" s="26" t="str">
        <x:v>原型调试</x:v>
      </x:c>
      <x:c r="D16" s="26" t="str">
        <x:v>电阻包</x:v>
      </x:c>
      <x:c r="E16" s="26" t="str">
        <x:v>超声波分压、上拉/下拉、LED与信号调试</x:v>
      </x:c>
      <x:c r="F16" s="43" t="n">
        <x:v>1</x:v>
      </x:c>
      <x:c r="G16" s="43" t="n">
        <x:v>0</x:v>
      </x:c>
      <x:c r="H16" s="43" t="n">
        <x:f>MAX(0,F16-G16)</x:f>
        <x:v>1</x:v>
      </x:c>
      <x:c r="I16" s="38" t="str">
        <x:v>包</x:v>
      </x:c>
      <x:c r="J16" s="38" t="str">
        <x:v>比赛物料</x:v>
      </x:c>
      <x:c r="K16" s="38" t="str">
        <x:v>47</x:v>
      </x:c>
      <x:c r="L16" s="43" t="n">
        <x:v>30</x:v>
      </x:c>
      <x:c r="M16" s="38" t="str">
        <x:v>冻结</x:v>
      </x:c>
      <x:c r="N16" s="44"/>
      <x:c r="O16" s="45" t="str">
        <x:f>IF(OR(H16="",N16=""),"",H16*N16)</x:f>
      </x:c>
      <x:c r="P16" s="26" t="str">
        <x:v>G0：确认常用阻值覆盖</x:v>
      </x:c>
      <x:c r="Q16" s="26" t="str">
        <x:v>最终装机改为焊接/端子连接</x:v>
      </x:c>
      <x:c r="R16" s="26" t="str">
        <x:v>黑客松物料表-原图.png</x:v>
      </x:c>
    </x:row>
    <x:row r="17" ht="39" customHeight="1">
      <x:c r="A17" s="38" t="n">
        <x:v>12</x:v>
      </x:c>
      <x:c r="B17" s="38" t="str">
        <x:v>P0</x:v>
      </x:c>
      <x:c r="C17" s="26" t="str">
        <x:v>原型调试</x:v>
      </x:c>
      <x:c r="D17" s="26" t="str">
        <x:v>面包板</x:v>
      </x:c>
      <x:c r="E17" s="26" t="str">
        <x:v>桌面联调使用，不进入移动整机</x:v>
      </x:c>
      <x:c r="F17" s="43" t="n">
        <x:v>1</x:v>
      </x:c>
      <x:c r="G17" s="43" t="n">
        <x:v>0</x:v>
      </x:c>
      <x:c r="H17" s="43" t="n">
        <x:f>MAX(0,F17-G17)</x:f>
        <x:v>1</x:v>
      </x:c>
      <x:c r="I17" s="38" t="str">
        <x:v>块</x:v>
      </x:c>
      <x:c r="J17" s="38" t="str">
        <x:v>比赛物料</x:v>
      </x:c>
      <x:c r="K17" s="38" t="str">
        <x:v>48</x:v>
      </x:c>
      <x:c r="L17" s="43" t="n">
        <x:v>40</x:v>
      </x:c>
      <x:c r="M17" s="38" t="str">
        <x:v>冻结</x:v>
      </x:c>
      <x:c r="N17" s="44"/>
      <x:c r="O17" s="45" t="str">
        <x:f>IF(OR(H17="",N17=""),"",H17*N17)</x:f>
      </x:c>
      <x:c r="P17" s="26" t="str">
        <x:v>G0：桌面原型可用；G2前移除</x:v>
      </x:c>
      <x:c r="Q17" s="26" t="str">
        <x:v>运动环境禁止把面包板当永久连接</x:v>
      </x:c>
      <x:c r="R17" s="26" t="str">
        <x:v>黑客松物料表-原图.png</x:v>
      </x:c>
    </x:row>
    <x:row r="18" ht="39" customHeight="1">
      <x:c r="A18" s="38" t="n">
        <x:v>13</x:v>
      </x:c>
      <x:c r="B18" s="38" t="str">
        <x:v>P0</x:v>
      </x:c>
      <x:c r="C18" s="26" t="str">
        <x:v>原型调试</x:v>
      </x:c>
      <x:c r="D18" s="26" t="str">
        <x:v>杜邦线（公公/公母/母母）</x:v>
      </x:c>
      <x:c r="E18" s="26" t="str">
        <x:v>桌面联调线材</x:v>
      </x:c>
      <x:c r="F18" s="43" t="n">
        <x:v>1</x:v>
      </x:c>
      <x:c r="G18" s="43" t="n">
        <x:v>0</x:v>
      </x:c>
      <x:c r="H18" s="43" t="n">
        <x:f>MAX(0,F18-G18)</x:f>
        <x:v>1</x:v>
      </x:c>
      <x:c r="I18" s="38" t="str">
        <x:v>套</x:v>
      </x:c>
      <x:c r="J18" s="38" t="str">
        <x:v>比赛物料</x:v>
      </x:c>
      <x:c r="K18" s="38" t="str">
        <x:v>49</x:v>
      </x:c>
      <x:c r="L18" s="43" t="n">
        <x:v>40</x:v>
      </x:c>
      <x:c r="M18" s="38" t="str">
        <x:v>冻结</x:v>
      </x:c>
      <x:c r="N18" s="44"/>
      <x:c r="O18" s="45" t="str">
        <x:f>IF(OR(H18="",N18=""),"",H18*N18)</x:f>
      </x:c>
      <x:c r="P18" s="26" t="str">
        <x:v>G0：确认线序；G2前替换为锁止接插件</x:v>
      </x:c>
      <x:c r="Q18" s="26" t="str">
        <x:v>移动整机不依赖松动杜邦线</x:v>
      </x:c>
      <x:c r="R18" s="26" t="str">
        <x:v>黑客松物料表-原图.png</x:v>
      </x:c>
    </x:row>
    <x:row r="19" ht="39" customHeight="1">
      <x:c r="A19" s="38" t="n">
        <x:v>14</x:v>
      </x:c>
      <x:c r="B19" s="38" t="str">
        <x:v>P0</x:v>
      </x:c>
      <x:c r="C19" s="26" t="str">
        <x:v>本地输入</x:v>
      </x:c>
      <x:c r="D19" s="26" t="str">
        <x:v>按键开关模块</x:v>
      </x:c>
      <x:c r="E19" s="26" t="str">
        <x:v>鼻部确认/录音触发或调试输入；不承担急停</x:v>
      </x:c>
      <x:c r="F19" s="43" t="n">
        <x:v>2</x:v>
      </x:c>
      <x:c r="G19" s="43" t="n">
        <x:v>0</x:v>
      </x:c>
      <x:c r="H19" s="43" t="n">
        <x:f>MAX(0,F19-G19)</x:f>
        <x:v>2</x:v>
      </x:c>
      <x:c r="I19" s="38" t="str">
        <x:v>块</x:v>
      </x:c>
      <x:c r="J19" s="38" t="str">
        <x:v>比赛物料</x:v>
      </x:c>
      <x:c r="K19" s="38" t="str">
        <x:v>29</x:v>
      </x:c>
      <x:c r="L19" s="43" t="n">
        <x:v>33</x:v>
      </x:c>
      <x:c r="M19" s="38" t="str">
        <x:v>原型候选</x:v>
      </x:c>
      <x:c r="N19" s="44"/>
      <x:c r="O19" s="45" t="str">
        <x:f>IF(OR(H19="",N19=""),"",H19*N19)</x:f>
      </x:c>
      <x:c r="P19" s="26" t="str">
        <x:v>G0：去抖、长按与断线默认态测试</x:v>
      </x:c>
      <x:c r="Q19" s="26" t="str">
        <x:v>急停必须使用独立锁存式实体按钮</x:v>
      </x:c>
      <x:c r="R19" s="26" t="str">
        <x:v>黑客松物料表-原图.png</x:v>
      </x:c>
    </x:row>
    <x:row r="20" ht="39" customHeight="1">
      <x:c r="A20" s="38" t="n">
        <x:v>15</x:v>
      </x:c>
      <x:c r="B20" s="38" t="str">
        <x:v>升级</x:v>
      </x:c>
      <x:c r="C20" s="26" t="str">
        <x:v>姿态感知</x:v>
      </x:c>
      <x:c r="D20" s="26" t="str">
        <x:v>高性能6轴MEMS运动跟踪模块</x:v>
      </x:c>
      <x:c r="E20" s="26" t="str">
        <x:v>Sim2Real/姿态事件候选；确切芯片与量程未知</x:v>
      </x:c>
      <x:c r="F20" s="43" t="n">
        <x:v>1</x:v>
      </x:c>
      <x:c r="G20" s="43" t="n">
        <x:v>0</x:v>
      </x:c>
      <x:c r="H20" s="43" t="n">
        <x:f>MAX(0,F20-G20)</x:f>
        <x:v>1</x:v>
      </x:c>
      <x:c r="I20" s="38" t="str">
        <x:v>块</x:v>
      </x:c>
      <x:c r="J20" s="38" t="str">
        <x:v>比赛物料</x:v>
      </x:c>
      <x:c r="K20" s="38" t="str">
        <x:v>69（原图疑似59）</x:v>
      </x:c>
      <x:c r="L20" s="43" t="n">
        <x:v>5</x:v>
      </x:c>
      <x:c r="M20" s="38" t="str">
        <x:v>待实测</x:v>
      </x:c>
      <x:c r="N20" s="44"/>
      <x:c r="O20" s="45" t="str">
        <x:f>IF(OR(H20="",N20=""),"",H20*N20)</x:f>
      </x:c>
      <x:c r="P20" s="26" t="str">
        <x:v>G0：核对原图误号、芯片、I2C地址、量程与采样率</x:v>
      </x:c>
      <x:c r="Q20" s="26" t="str">
        <x:v>原图编号顺序为58、69、60，保留疑点不擅自改号</x:v>
      </x:c>
      <x:c r="R20" s="26" t="str">
        <x:v>黑客松物料表-原图.png</x:v>
      </x:c>
    </x:row>
    <x:row r="21" ht="39" customHeight="1">
      <x:c r="A21" s="38" t="n">
        <x:v>16</x:v>
      </x:c>
      <x:c r="B21" s="38" t="str">
        <x:v>P0</x:v>
      </x:c>
      <x:c r="C21" s="26" t="str">
        <x:v>电机驱动</x:v>
      </x:c>
      <x:c r="D21" s="26" t="str">
        <x:v>DRV8833双路电机驱动模块</x:v>
      </x:c>
      <x:c r="E21" s="26" t="str">
        <x:v>1.5A RMS/桥为芯片级参考；模块散热与堵转电流必须实测</x:v>
      </x:c>
      <x:c r="F21" s="43" t="n">
        <x:v>1</x:v>
      </x:c>
      <x:c r="G21" s="43" t="n">
        <x:v>0</x:v>
      </x:c>
      <x:c r="H21" s="43" t="n">
        <x:f>MAX(0,F21-G21)</x:f>
        <x:v>1</x:v>
      </x:c>
      <x:c r="I21" s="38" t="str">
        <x:v>块</x:v>
      </x:c>
      <x:c r="J21" s="38" t="str">
        <x:v>自备</x:v>
      </x:c>
      <x:c r="K21" s="38" t="str">
        <x:v>—</x:v>
      </x:c>
      <x:c r="L21" s="43"/>
      <x:c r="M21" s="38" t="str">
        <x:v>首选待实测</x:v>
      </x:c>
      <x:c r="N21" s="44"/>
      <x:c r="O21" s="45" t="str">
        <x:f>IF(OR(H21="",N21=""),"",H21*N21)</x:f>
      </x:c>
      <x:c r="P21" s="26" t="str">
        <x:v>G1：驱动持续/峰值电流、堵转保护与30分钟温升</x:v>
      </x:c>
      <x:c r="Q21" s="26" t="str">
        <x:v>若不满足则换更高电流驱动；TB6612仅备选</x:v>
      </x:c>
      <x:c r="R21" s="26" t="str">
        <x:v>系统架构 §5.1</x:v>
      </x:c>
    </x:row>
    <x:row r="22" ht="39" customHeight="1">
      <x:c r="A22" s="38" t="n">
        <x:v>17</x:v>
      </x:c>
      <x:c r="B22" s="38" t="str">
        <x:v>P0</x:v>
      </x:c>
      <x:c r="C22" s="26" t="str">
        <x:v>音频输入</x:v>
      </x:c>
      <x:c r="D22" s="26" t="str">
        <x:v>INMP441 I2S麦克风</x:v>
      </x:c>
      <x:c r="E22" s="26" t="str">
        <x:v>16kHz单声道；耳部安装并远离扬声器和电机</x:v>
      </x:c>
      <x:c r="F22" s="43" t="n">
        <x:v>1</x:v>
      </x:c>
      <x:c r="G22" s="43" t="n">
        <x:v>0</x:v>
      </x:c>
      <x:c r="H22" s="43" t="n">
        <x:f>MAX(0,F22-G22)</x:f>
        <x:v>1</x:v>
      </x:c>
      <x:c r="I22" s="38" t="str">
        <x:v>块</x:v>
      </x:c>
      <x:c r="J22" s="38" t="str">
        <x:v>自备</x:v>
      </x:c>
      <x:c r="K22" s="38" t="str">
        <x:v>—</x:v>
      </x:c>
      <x:c r="L22" s="43"/>
      <x:c r="M22" s="38" t="str">
        <x:v>冻结</x:v>
      </x:c>
      <x:c r="N22" s="44"/>
      <x:c r="O22" s="45" t="str">
        <x:f>IF(OR(H22="",N22=""),"",H22*N22)</x:f>
      </x:c>
      <x:c r="P22" s="26" t="str">
        <x:v>G1：装壳前后KWS/录音信噪比与电机噪声测试</x:v>
      </x:c>
      <x:c r="Q22" s="26" t="str">
        <x:v>普通声音传感器不能替代</x:v>
      </x:c>
      <x:c r="R22" s="26" t="str">
        <x:v>系统架构 §5.1</x:v>
      </x:c>
    </x:row>
    <x:row r="23" ht="39" customHeight="1">
      <x:c r="A23" s="38" t="n">
        <x:v>18</x:v>
      </x:c>
      <x:c r="B23" s="38" t="str">
        <x:v>P0</x:v>
      </x:c>
      <x:c r="C23" s="26" t="str">
        <x:v>音频输出</x:v>
      </x:c>
      <x:c r="D23" s="26" t="str">
        <x:v>MAX98357A I2S功放</x:v>
      </x:c>
      <x:c r="E23" s="26" t="str">
        <x:v>驱动4Ω扬声器；逻辑/音频独立供电</x:v>
      </x:c>
      <x:c r="F23" s="43" t="n">
        <x:v>1</x:v>
      </x:c>
      <x:c r="G23" s="43" t="n">
        <x:v>0</x:v>
      </x:c>
      <x:c r="H23" s="43" t="n">
        <x:f>MAX(0,F23-G23)</x:f>
        <x:v>1</x:v>
      </x:c>
      <x:c r="I23" s="38" t="str">
        <x:v>块</x:v>
      </x:c>
      <x:c r="J23" s="38" t="str">
        <x:v>自备</x:v>
      </x:c>
      <x:c r="K23" s="38" t="str">
        <x:v>—</x:v>
      </x:c>
      <x:c r="L23" s="43"/>
      <x:c r="M23" s="38" t="str">
        <x:v>冻结</x:v>
      </x:c>
      <x:c r="N23" s="44"/>
      <x:c r="O23" s="45" t="str">
        <x:f>IF(OR(H23="",N23=""),"",H23*N23)</x:f>
      </x:c>
      <x:c r="P23" s="26" t="str">
        <x:v>G1：最大音量、失真、温升与电源压降测试</x:v>
      </x:c>
      <x:c r="Q23" s="26" t="str">
        <x:v>与麦克风物理隔离</x:v>
      </x:c>
      <x:c r="R23" s="26" t="str">
        <x:v>系统架构 §5.1</x:v>
      </x:c>
    </x:row>
    <x:row r="24" ht="39" customHeight="1">
      <x:c r="A24" s="38" t="n">
        <x:v>19</x:v>
      </x:c>
      <x:c r="B24" s="38" t="str">
        <x:v>P0</x:v>
      </x:c>
      <x:c r="C24" s="26" t="str">
        <x:v>头部动作</x:v>
      </x:c>
      <x:c r="D24" s="26" t="str">
        <x:v>180°可定位金属齿舵机</x:v>
      </x:c>
      <x:c r="E24" s="26" t="str">
        <x:v>转头/点头两轴；扭矩按头部实重与力臂×2.5动态系数选</x:v>
      </x:c>
      <x:c r="F24" s="43" t="n">
        <x:v>2</x:v>
      </x:c>
      <x:c r="G24" s="43" t="n">
        <x:v>0</x:v>
      </x:c>
      <x:c r="H24" s="43" t="n">
        <x:f>MAX(0,F24-G24)</x:f>
        <x:v>2</x:v>
      </x:c>
      <x:c r="I24" s="38" t="str">
        <x:v>个</x:v>
      </x:c>
      <x:c r="J24" s="38" t="str">
        <x:v>自备</x:v>
      </x:c>
      <x:c r="K24" s="38" t="str">
        <x:v>—</x:v>
      </x:c>
      <x:c r="L24" s="43"/>
      <x:c r="M24" s="38" t="str">
        <x:v>待称重选型</x:v>
      </x:c>
      <x:c r="N24" s="44"/>
      <x:c r="O24" s="45" t="str">
        <x:f>IF(OR(H24="",N24=""),"",H24*N24)</x:f>
      </x:c>
      <x:c r="P24" s="26" t="str">
        <x:v>G0/G2：称重算扭矩、软/机械限位、卡滞与100次循环</x:v>
      </x:c>
      <x:c r="Q24" s="26" t="str">
        <x:v>禁止使用50号360°连续旋转舵机</x:v>
      </x:c>
      <x:c r="R24" s="26" t="str">
        <x:v>系统架构 §5.1</x:v>
      </x:c>
    </x:row>
    <x:row r="25" ht="39" customHeight="1">
      <x:c r="A25" s="38" t="n">
        <x:v>20</x:v>
      </x:c>
      <x:c r="B25" s="38" t="str">
        <x:v>P0</x:v>
      </x:c>
      <x:c r="C25" s="26" t="str">
        <x:v>嘴部动作</x:v>
      </x:c>
      <x:c r="D25" s="26" t="str">
        <x:v>180°微型定位舵机</x:v>
      </x:c>
      <x:c r="E25" s="26" t="str">
        <x:v>嘴部开合；弹簧回位并设置机械限位</x:v>
      </x:c>
      <x:c r="F25" s="43" t="n">
        <x:v>1</x:v>
      </x:c>
      <x:c r="G25" s="43" t="n">
        <x:v>0</x:v>
      </x:c>
      <x:c r="H25" s="43" t="n">
        <x:f>MAX(0,F25-G25)</x:f>
        <x:v>1</x:v>
      </x:c>
      <x:c r="I25" s="38" t="str">
        <x:v>个</x:v>
      </x:c>
      <x:c r="J25" s="38" t="str">
        <x:v>自备</x:v>
      </x:c>
      <x:c r="K25" s="38" t="str">
        <x:v>—</x:v>
      </x:c>
      <x:c r="L25" s="43"/>
      <x:c r="M25" s="38" t="str">
        <x:v>待称重选型</x:v>
      </x:c>
      <x:c r="N25" s="44"/>
      <x:c r="O25" s="45" t="str">
        <x:f>IF(OR(H25="",N25=""),"",H25*N25)</x:f>
      </x:c>
      <x:c r="P25" s="26" t="str">
        <x:v>G2：软限位、堵转超时、线缆余量和100次循环</x:v>
      </x:c>
      <x:c r="Q25" s="26" t="str">
        <x:v>可从轻载微型舵机起步</x:v>
      </x:c>
      <x:c r="R25" s="26" t="str">
        <x:v>系统架构 §5.1</x:v>
      </x:c>
    </x:row>
    <x:row r="26" ht="39" customHeight="1">
      <x:c r="A26" s="38" t="n">
        <x:v>21</x:v>
      </x:c>
      <x:c r="B26" s="38" t="str">
        <x:v>P0</x:v>
      </x:c>
      <x:c r="C26" s="26" t="str">
        <x:v>电源</x:v>
      </x:c>
      <x:c r="D26" s="26" t="str">
        <x:v>2S带保护电池包</x:v>
      </x:c>
      <x:c r="E26" s="26" t="str">
        <x:v>7.4V标称；容量、放电倍率、接口与认证待最终负载确认</x:v>
      </x:c>
      <x:c r="F26" s="43" t="n">
        <x:v>1</x:v>
      </x:c>
      <x:c r="G26" s="43" t="n">
        <x:v>0</x:v>
      </x:c>
      <x:c r="H26" s="43" t="n">
        <x:f>MAX(0,F26-G26)</x:f>
        <x:v>1</x:v>
      </x:c>
      <x:c r="I26" s="38" t="str">
        <x:v>包</x:v>
      </x:c>
      <x:c r="J26" s="38" t="str">
        <x:v>自备</x:v>
      </x:c>
      <x:c r="K26" s="38" t="str">
        <x:v>—</x:v>
      </x:c>
      <x:c r="L26" s="43"/>
      <x:c r="M26" s="38" t="str">
        <x:v>待实测</x:v>
      </x:c>
      <x:c r="N26" s="44"/>
      <x:c r="O26" s="45" t="str">
        <x:f>IF(OR(H26="",N26=""),"",H26*N26)</x:f>
      </x:c>
      <x:c r="P26" s="26" t="str">
        <x:v>G1：BMS、反接、峰值电流、低电阈值、固定与运输检查</x:v>
      </x:c>
      <x:c r="Q26" s="26" t="str">
        <x:v>不采用裸电芯或未知保护电池盒</x:v>
      </x:c>
      <x:c r="R26" s="26" t="str">
        <x:v>系统架构 §5.1</x:v>
      </x:c>
    </x:row>
    <x:row r="27" ht="39" customHeight="1">
      <x:c r="A27" s="38" t="n">
        <x:v>22</x:v>
      </x:c>
      <x:c r="B27" s="38" t="str">
        <x:v>P0</x:v>
      </x:c>
      <x:c r="C27" s="26" t="str">
        <x:v>充电</x:v>
      </x:c>
      <x:c r="D27" s="26" t="str">
        <x:v>8.4V合规充电器</x:v>
      </x:c>
      <x:c r="E27" s="26" t="str">
        <x:v>与2S电池化学体系、接口和充电电流匹配</x:v>
      </x:c>
      <x:c r="F27" s="43" t="n">
        <x:v>1</x:v>
      </x:c>
      <x:c r="G27" s="43" t="n">
        <x:v>0</x:v>
      </x:c>
      <x:c r="H27" s="43" t="n">
        <x:f>MAX(0,F27-G27)</x:f>
        <x:v>1</x:v>
      </x:c>
      <x:c r="I27" s="38" t="str">
        <x:v>个</x:v>
      </x:c>
      <x:c r="J27" s="38" t="str">
        <x:v>自备</x:v>
      </x:c>
      <x:c r="K27" s="38" t="str">
        <x:v>—</x:v>
      </x:c>
      <x:c r="L27" s="43"/>
      <x:c r="M27" s="38" t="str">
        <x:v>待实测</x:v>
      </x:c>
      <x:c r="N27" s="44"/>
      <x:c r="O27" s="45" t="str">
        <x:f>IF(OR(H27="",N27=""),"",H27*N27)</x:f>
      </x:c>
      <x:c r="P27" s="26" t="str">
        <x:v>G1：充电截止、温升、接口防呆；比赛版不边充边跑</x:v>
      </x:c>
      <x:c r="Q27" s="26" t="str">
        <x:v>必须与最终电池成套确认</x:v>
      </x:c>
      <x:c r="R27" s="26" t="str">
        <x:v>系统架构 §5.1</x:v>
      </x:c>
    </x:row>
    <x:row r="28" ht="39" customHeight="1">
      <x:c r="A28" s="38" t="n">
        <x:v>23</x:v>
      </x:c>
      <x:c r="B28" s="38" t="str">
        <x:v>P0</x:v>
      </x:c>
      <x:c r="C28" s="26" t="str">
        <x:v>安全</x:v>
      </x:c>
      <x:c r="D28" s="26" t="str">
        <x:v>锁存式实体急停按钮</x:v>
      </x:c>
      <x:c r="E28" s="26" t="str">
        <x:v>直接切断执行器电源；逻辑保持上电记录原因</x:v>
      </x:c>
      <x:c r="F28" s="43" t="n">
        <x:v>1</x:v>
      </x:c>
      <x:c r="G28" s="43" t="n">
        <x:v>0</x:v>
      </x:c>
      <x:c r="H28" s="43" t="n">
        <x:f>MAX(0,F28-G28)</x:f>
        <x:v>1</x:v>
      </x:c>
      <x:c r="I28" s="38" t="str">
        <x:v>个</x:v>
      </x:c>
      <x:c r="J28" s="38" t="str">
        <x:v>自备</x:v>
      </x:c>
      <x:c r="K28" s="38" t="str">
        <x:v>—</x:v>
      </x:c>
      <x:c r="L28" s="43"/>
      <x:c r="M28" s="38" t="str">
        <x:v>冻结</x:v>
      </x:c>
      <x:c r="N28" s="44"/>
      <x:c r="O28" s="45" t="str">
        <x:f>IF(OR(H28="",N28=""),"",H28*N28)</x:f>
      </x:c>
      <x:c r="P28" s="26" t="str">
        <x:v>G1：运动中触发/复位各50次，目标≤100ms进入安全态</x:v>
      </x:c>
      <x:c r="Q28" s="26" t="str">
        <x:v>普通按键模块不能替代</x:v>
      </x:c>
      <x:c r="R28" s="26" t="str">
        <x:v>系统架构 §5.1</x:v>
      </x:c>
    </x:row>
    <x:row r="29" ht="39" customHeight="1">
      <x:c r="A29" s="38" t="n">
        <x:v>24</x:v>
      </x:c>
      <x:c r="B29" s="38" t="str">
        <x:v>P0</x:v>
      </x:c>
      <x:c r="C29" s="26" t="str">
        <x:v>安全</x:v>
      </x:c>
      <x:c r="D29" s="26" t="str">
        <x:v>保险丝及保险座</x:v>
      </x:c>
      <x:c r="E29" s="26" t="str">
        <x:v>额定值按最终堵转与线路电流确定</x:v>
      </x:c>
      <x:c r="F29" s="43" t="n">
        <x:v>1</x:v>
      </x:c>
      <x:c r="G29" s="43" t="n">
        <x:v>0</x:v>
      </x:c>
      <x:c r="H29" s="43" t="n">
        <x:f>MAX(0,F29-G29)</x:f>
        <x:v>1</x:v>
      </x:c>
      <x:c r="I29" s="38" t="str">
        <x:v>套</x:v>
      </x:c>
      <x:c r="J29" s="38" t="str">
        <x:v>自备</x:v>
      </x:c>
      <x:c r="K29" s="38" t="str">
        <x:v>—</x:v>
      </x:c>
      <x:c r="L29" s="43"/>
      <x:c r="M29" s="38" t="str">
        <x:v>待实测</x:v>
      </x:c>
      <x:c r="N29" s="44"/>
      <x:c r="O29" s="45" t="str">
        <x:f>IF(OR(H29="",N29=""),"",H29*N29)</x:f>
      </x:c>
      <x:c r="P29" s="26" t="str">
        <x:v>G1：短时堵转与过流验证；不超过线材/接插件额定值</x:v>
      </x:c>
      <x:c r="Q29" s="26" t="str">
        <x:v>安装在电池总输出近端</x:v>
      </x:c>
      <x:c r="R29" s="26" t="str">
        <x:v>系统架构 §5.1</x:v>
      </x:c>
    </x:row>
    <x:row r="30" ht="39" customHeight="1">
      <x:c r="A30" s="38" t="n">
        <x:v>25</x:v>
      </x:c>
      <x:c r="B30" s="38" t="str">
        <x:v>P0</x:v>
      </x:c>
      <x:c r="C30" s="26" t="str">
        <x:v>电源</x:v>
      </x:c>
      <x:c r="D30" s="26" t="str">
        <x:v>主电源开关</x:v>
      </x:c>
      <x:c r="E30" s="26" t="str">
        <x:v>整机总电源；额定电流与电池输出匹配</x:v>
      </x:c>
      <x:c r="F30" s="43" t="n">
        <x:v>1</x:v>
      </x:c>
      <x:c r="G30" s="43" t="n">
        <x:v>0</x:v>
      </x:c>
      <x:c r="H30" s="43" t="n">
        <x:f>MAX(0,F30-G30)</x:f>
        <x:v>1</x:v>
      </x:c>
      <x:c r="I30" s="38" t="str">
        <x:v>个</x:v>
      </x:c>
      <x:c r="J30" s="38" t="str">
        <x:v>自备</x:v>
      </x:c>
      <x:c r="K30" s="38" t="str">
        <x:v>—</x:v>
      </x:c>
      <x:c r="L30" s="43"/>
      <x:c r="M30" s="38" t="str">
        <x:v>待实测</x:v>
      </x:c>
      <x:c r="N30" s="44"/>
      <x:c r="O30" s="45" t="str">
        <x:f>IF(OR(H30="",N30=""),"",H30*N30)</x:f>
      </x:c>
      <x:c r="P30" s="26" t="str">
        <x:v>G1：带载通断、温升、误触与维护可达性</x:v>
      </x:c>
      <x:c r="Q30" s="26" t="str">
        <x:v>与急停职责分开</x:v>
      </x:c>
      <x:c r="R30" s="26" t="str">
        <x:v>系统架构 §5.1</x:v>
      </x:c>
    </x:row>
    <x:row r="31" ht="39" customHeight="1">
      <x:c r="A31" s="38" t="n">
        <x:v>26</x:v>
      </x:c>
      <x:c r="B31" s="38" t="str">
        <x:v>P0</x:v>
      </x:c>
      <x:c r="C31" s="26" t="str">
        <x:v>移动底盘</x:v>
      </x:c>
      <x:c r="D31" s="26" t="str">
        <x:v>TT马达配套车轮</x:v>
      </x:c>
      <x:c r="E31" s="26" t="str">
        <x:v>建议约65mm；最终轮径需与扭矩和壳体离地间隙联调</x:v>
      </x:c>
      <x:c r="F31" s="43" t="n">
        <x:v>2</x:v>
      </x:c>
      <x:c r="G31" s="43" t="n">
        <x:v>0</x:v>
      </x:c>
      <x:c r="H31" s="43" t="n">
        <x:f>MAX(0,F31-G31)</x:f>
        <x:v>2</x:v>
      </x:c>
      <x:c r="I31" s="38" t="str">
        <x:v>个</x:v>
      </x:c>
      <x:c r="J31" s="38" t="str">
        <x:v>自备</x:v>
      </x:c>
      <x:c r="K31" s="38" t="str">
        <x:v>—</x:v>
      </x:c>
      <x:c r="L31" s="43"/>
      <x:c r="M31" s="38" t="str">
        <x:v>原型候选</x:v>
      </x:c>
      <x:c r="N31" s="44"/>
      <x:c r="O31" s="45" t="str">
        <x:f>IF(OR(H31="",N31=""),"",H31*N31)</x:f>
      </x:c>
      <x:c r="P31" s="26" t="str">
        <x:v>G1：同轴度、打滑、急停、转弯和壳体干涉</x:v>
      </x:c>
      <x:c r="Q31" s="26" t="str">
        <x:v>轮径改变需同步修正控制参数</x:v>
      </x:c>
      <x:c r="R31" s="26" t="str">
        <x:v>系统架构 §5.1</x:v>
      </x:c>
    </x:row>
    <x:row r="32" ht="39" customHeight="1">
      <x:c r="A32" s="38" t="n">
        <x:v>27</x:v>
      </x:c>
      <x:c r="B32" s="38" t="str">
        <x:v>P0</x:v>
      </x:c>
      <x:c r="C32" s="26" t="str">
        <x:v>移动底盘</x:v>
      </x:c>
      <x:c r="D32" s="26" t="str">
        <x:v>后部滚珠轮/万向轮</x:v>
      </x:c>
      <x:c r="E32" s="26" t="str">
        <x:v>与两驱轮组成稳定三点支撑</x:v>
      </x:c>
      <x:c r="F32" s="43" t="n">
        <x:v>1</x:v>
      </x:c>
      <x:c r="G32" s="43" t="n">
        <x:v>0</x:v>
      </x:c>
      <x:c r="H32" s="43" t="n">
        <x:f>MAX(0,F32-G32)</x:f>
        <x:v>1</x:v>
      </x:c>
      <x:c r="I32" s="38" t="str">
        <x:v>个</x:v>
      </x:c>
      <x:c r="J32" s="38" t="str">
        <x:v>自备</x:v>
      </x:c>
      <x:c r="K32" s="38" t="str">
        <x:v>—</x:v>
      </x:c>
      <x:c r="L32" s="43"/>
      <x:c r="M32" s="38" t="str">
        <x:v>冻结</x:v>
      </x:c>
      <x:c r="N32" s="44"/>
      <x:c r="O32" s="45" t="str">
        <x:f>IF(OR(H32="",N32=""),"",H32*N32)</x:f>
      </x:c>
      <x:c r="P32" s="26" t="str">
        <x:v>G1：接缝通过、转向阻力、防卡滞与急停稳定性</x:v>
      </x:c>
      <x:c r="Q32" s="26" t="str">
        <x:v>优先低矮轻量结构</x:v>
      </x:c>
      <x:c r="R32" s="26" t="str">
        <x:v>系统架构 §5.1</x:v>
      </x:c>
    </x:row>
    <x:row r="33" ht="39" customHeight="1">
      <x:c r="A33" s="38" t="n">
        <x:v>28</x:v>
      </x:c>
      <x:c r="B33" s="38" t="str">
        <x:v>P0</x:v>
      </x:c>
      <x:c r="C33" s="26" t="str">
        <x:v>机械安全</x:v>
      </x:c>
      <x:c r="D33" s="26" t="str">
        <x:v>前防倾支点</x:v>
      </x:c>
      <x:c r="E33" s="26" t="str">
        <x:v>正常行驶不拖地，急停或前倾时先于外壳触地</x:v>
      </x:c>
      <x:c r="F33" s="43" t="n">
        <x:v>1</x:v>
      </x:c>
      <x:c r="G33" s="43" t="n">
        <x:v>0</x:v>
      </x:c>
      <x:c r="H33" s="43" t="n">
        <x:f>MAX(0,F33-G33)</x:f>
        <x:v>1</x:v>
      </x:c>
      <x:c r="I33" s="38" t="str">
        <x:v>个</x:v>
      </x:c>
      <x:c r="J33" s="38" t="str">
        <x:v>3D打印</x:v>
      </x:c>
      <x:c r="K33" s="38" t="str">
        <x:v>—</x:v>
      </x:c>
      <x:c r="L33" s="43"/>
      <x:c r="M33" s="38" t="str">
        <x:v>冻结</x:v>
      </x:c>
      <x:c r="N33" s="44"/>
      <x:c r="O33" s="45" t="str">
        <x:f>IF(OR(H33="",N33=""),"",H33*N33)</x:f>
      </x:c>
      <x:c r="P33" s="26" t="str">
        <x:v>G1/G3：最终重量假负载急停与转向各20次不倾倒</x:v>
      </x:c>
      <x:c r="Q33" s="26" t="str">
        <x:v>与底盘工程骨架一体设计</x:v>
      </x:c>
      <x:c r="R33" s="26" t="str">
        <x:v>系统架构 §5.1</x:v>
      </x:c>
    </x:row>
    <x:row r="34" ht="39" customHeight="1">
      <x:c r="A34" s="38" t="n">
        <x:v>29</x:v>
      </x:c>
      <x:c r="B34" s="38" t="str">
        <x:v>P0</x:v>
      </x:c>
      <x:c r="C34" s="26" t="str">
        <x:v>线束</x:v>
      </x:c>
      <x:c r="D34" s="26" t="str">
        <x:v>锁止接插件与多规格线材套件</x:v>
      </x:c>
      <x:c r="E34" s="26" t="str">
        <x:v>JST-XH/端子等；按电流分线径并做应力释放</x:v>
      </x:c>
      <x:c r="F34" s="43" t="n">
        <x:v>1</x:v>
      </x:c>
      <x:c r="G34" s="43" t="n">
        <x:v>0</x:v>
      </x:c>
      <x:c r="H34" s="43" t="n">
        <x:f>MAX(0,F34-G34)</x:f>
        <x:v>1</x:v>
      </x:c>
      <x:c r="I34" s="38" t="str">
        <x:v>套</x:v>
      </x:c>
      <x:c r="J34" s="38" t="str">
        <x:v>自备</x:v>
      </x:c>
      <x:c r="K34" s="38" t="str">
        <x:v>—</x:v>
      </x:c>
      <x:c r="L34" s="43"/>
      <x:c r="M34" s="38" t="str">
        <x:v>待实测</x:v>
      </x:c>
      <x:c r="N34" s="44"/>
      <x:c r="O34" s="45" t="str">
        <x:f>IF(OR(H34="",N34=""),"",H34*N34)</x:f>
      </x:c>
      <x:c r="P34" s="26" t="str">
        <x:v>G2：摇晃、装拆、拉力、反接防呆与温升检查</x:v>
      </x:c>
      <x:c r="Q34" s="26" t="str">
        <x:v>杜邦线仅限桌面调试</x:v>
      </x:c>
      <x:c r="R34" s="26" t="str">
        <x:v>系统架构 §5.1</x:v>
      </x:c>
    </x:row>
    <x:row r="35" ht="39" customHeight="1">
      <x:c r="A35" s="38" t="n">
        <x:v>30</x:v>
      </x:c>
      <x:c r="B35" s="38" t="str">
        <x:v>P0</x:v>
      </x:c>
      <x:c r="C35" s="26" t="str">
        <x:v>机械装配</x:v>
      </x:c>
      <x:c r="D35" s="26" t="str">
        <x:v>M2/M3螺丝、螺母与垫片</x:v>
      </x:c>
      <x:c r="E35" s="26" t="str">
        <x:v>覆盖舵机、主控、骨架、检修门和电池仓</x:v>
      </x:c>
      <x:c r="F35" s="43" t="n">
        <x:v>1</x:v>
      </x:c>
      <x:c r="G35" s="43" t="n">
        <x:v>0</x:v>
      </x:c>
      <x:c r="H35" s="43" t="n">
        <x:f>MAX(0,F35-G35)</x:f>
        <x:v>1</x:v>
      </x:c>
      <x:c r="I35" s="38" t="str">
        <x:v>套</x:v>
      </x:c>
      <x:c r="J35" s="38" t="str">
        <x:v>自备</x:v>
      </x:c>
      <x:c r="K35" s="38" t="str">
        <x:v>—</x:v>
      </x:c>
      <x:c r="L35" s="43"/>
      <x:c r="M35" s="38" t="str">
        <x:v>冻结</x:v>
      </x:c>
      <x:c r="N35" s="44"/>
      <x:c r="O35" s="45" t="str">
        <x:f>IF(OR(H35="",N35=""),"",H35*N35)</x:f>
      </x:c>
      <x:c r="P35" s="26" t="str">
        <x:v>G0：按实物孔位建立紧固件清单；完成3次无损装拆</x:v>
      </x:c>
      <x:c r="Q35" s="26" t="str">
        <x:v>不把关键承力件永久胶粘</x:v>
      </x:c>
      <x:c r="R35" s="26" t="str">
        <x:v>系统架构 §5.1</x:v>
      </x:c>
    </x:row>
    <x:row r="36" ht="39" customHeight="1">
      <x:c r="A36" s="38" t="n">
        <x:v>31</x:v>
      </x:c>
      <x:c r="B36" s="38" t="str">
        <x:v>P0</x:v>
      </x:c>
      <x:c r="C36" s="26" t="str">
        <x:v>机械装配</x:v>
      </x:c>
      <x:c r="D36" s="26" t="str">
        <x:v>M2/M3热熔螺母</x:v>
      </x:c>
      <x:c r="E36" s="26" t="str">
        <x:v>打印件反复装拆接口</x:v>
      </x:c>
      <x:c r="F36" s="43" t="n">
        <x:v>1</x:v>
      </x:c>
      <x:c r="G36" s="43" t="n">
        <x:v>0</x:v>
      </x:c>
      <x:c r="H36" s="43" t="n">
        <x:f>MAX(0,F36-G36)</x:f>
        <x:v>1</x:v>
      </x:c>
      <x:c r="I36" s="38" t="str">
        <x:v>套</x:v>
      </x:c>
      <x:c r="J36" s="38" t="str">
        <x:v>自备</x:v>
      </x:c>
      <x:c r="K36" s="38" t="str">
        <x:v>—</x:v>
      </x:c>
      <x:c r="L36" s="43"/>
      <x:c r="M36" s="38" t="str">
        <x:v>冻结</x:v>
      </x:c>
      <x:c r="N36" s="44"/>
      <x:c r="O36" s="45" t="str">
        <x:f>IF(OR(H36="",N36=""),"",H36*N36)</x:f>
      </x:c>
      <x:c r="P36" s="26" t="str">
        <x:v>G0/G2：先打印孔径试片，再冻结热熔孔参数</x:v>
      </x:c>
      <x:c r="Q36" s="26" t="str">
        <x:v>按材料收缩修正孔径</x:v>
      </x:c>
      <x:c r="R36" s="26" t="str">
        <x:v>系统架构 §5.1</x:v>
      </x:c>
    </x:row>
    <x:row r="37" ht="39" customHeight="1">
      <x:c r="A37" s="38" t="n">
        <x:v>32</x:v>
      </x:c>
      <x:c r="B37" s="38" t="str">
        <x:v>P0</x:v>
      </x:c>
      <x:c r="C37" s="26" t="str">
        <x:v>3D打印</x:v>
      </x:c>
      <x:c r="D37" s="26" t="str">
        <x:v>PLA/PETG打印耗材</x:v>
      </x:c>
      <x:c r="E37" s="26" t="str">
        <x:v>外观件优先PLA；电机座/舵机座等承力件优先PETG</x:v>
      </x:c>
      <x:c r="F37" s="43" t="n">
        <x:v>1</x:v>
      </x:c>
      <x:c r="G37" s="43" t="n">
        <x:v>0</x:v>
      </x:c>
      <x:c r="H37" s="43" t="n">
        <x:f>MAX(0,F37-G37)</x:f>
        <x:v>1</x:v>
      </x:c>
      <x:c r="I37" s="38" t="str">
        <x:v>套</x:v>
      </x:c>
      <x:c r="J37" s="38" t="str">
        <x:v>自备</x:v>
      </x:c>
      <x:c r="K37" s="38" t="str">
        <x:v>—</x:v>
      </x:c>
      <x:c r="L37" s="43"/>
      <x:c r="M37" s="38" t="str">
        <x:v>冻结</x:v>
      </x:c>
      <x:c r="N37" s="44"/>
      <x:c r="O37" s="45" t="str">
        <x:f>IF(OR(H37="",N37=""),"",H37*N37)</x:f>
      </x:c>
      <x:c r="P37" s="26" t="str">
        <x:v>G0：切片包络、关键接口试片、层间强度与温升检查</x:v>
      </x:c>
      <x:c r="Q37" s="26" t="str">
        <x:v>混元/群核只负责外观；FreeCAD骨架负责承力孔位</x:v>
      </x:c>
      <x:c r="R37" s="26" t="str">
        <x:v>系统架构 §5.1</x:v>
      </x:c>
    </x:row>
    <x:row r="38" ht="39" customHeight="1">
      <x:c r="A38" s="38" t="n">
        <x:v>33</x:v>
      </x:c>
      <x:c r="B38" s="38" t="str">
        <x:v>P1</x:v>
      </x:c>
      <x:c r="C38" s="26" t="str">
        <x:v>扩展结构</x:v>
      </x:c>
      <x:c r="D38" s="26" t="str">
        <x:v>Insta360预留安装座</x:v>
      </x:c>
      <x:c r="E38" s="26" t="str">
        <x:v>仅做加强区、螺纹/绑带接口和重心预留，不安装摄像机</x:v>
      </x:c>
      <x:c r="F38" s="43" t="n">
        <x:v>1</x:v>
      </x:c>
      <x:c r="G38" s="43" t="n">
        <x:v>0</x:v>
      </x:c>
      <x:c r="H38" s="43" t="n">
        <x:f>MAX(0,F38-G38)</x:f>
        <x:v>1</x:v>
      </x:c>
      <x:c r="I38" s="38" t="str">
        <x:v>个</x:v>
      </x:c>
      <x:c r="J38" s="38" t="str">
        <x:v>3D打印</x:v>
      </x:c>
      <x:c r="K38" s="38" t="str">
        <x:v>—</x:v>
      </x:c>
      <x:c r="L38" s="43"/>
      <x:c r="M38" s="38" t="str">
        <x:v>P1可选</x:v>
      </x:c>
      <x:c r="N38" s="44"/>
      <x:c r="O38" s="45" t="str">
        <x:f>IF(OR(H38="",N38=""),"",H38*N38)</x:f>
      </x:c>
      <x:c r="P38" s="26" t="str">
        <x:v>G2：CAD干涉、检修门可达性与重心检查</x:v>
      </x:c>
      <x:c r="Q38" s="26" t="str">
        <x:v>P0不采集图像</x:v>
      </x:c>
      <x:c r="R38" s="26" t="str">
        <x:v>系统架构 §5.1</x:v>
      </x:c>
    </x:row>
    <x:row r="39" ht="39" customHeight="1">
      <x:c r="A39" s="38" t="n">
        <x:v>34</x:v>
      </x:c>
      <x:c r="B39" s="38" t="str">
        <x:v>升级</x:v>
      </x:c>
      <x:c r="C39" s="26" t="str">
        <x:v>Sim2Real</x:v>
      </x:c>
      <x:c r="D39" s="26" t="str">
        <x:v>带编码器减速电机或编码器套件</x:v>
      </x:c>
      <x:c r="E39" s="26" t="str">
        <x:v>替换/改造普通TT马达，提供真实轮速反馈</x:v>
      </x:c>
      <x:c r="F39" s="43" t="n">
        <x:v>2</x:v>
      </x:c>
      <x:c r="G39" s="43" t="n">
        <x:v>0</x:v>
      </x:c>
      <x:c r="H39" s="43" t="n">
        <x:f>MAX(0,F39-G39)</x:f>
        <x:v>2</x:v>
      </x:c>
      <x:c r="I39" s="38" t="str">
        <x:v>个</x:v>
      </x:c>
      <x:c r="J39" s="38" t="str">
        <x:v>未来升级</x:v>
      </x:c>
      <x:c r="K39" s="38" t="str">
        <x:v>—</x:v>
      </x:c>
      <x:c r="L39" s="43"/>
      <x:c r="M39" s="38" t="str">
        <x:v>升级项</x:v>
      </x:c>
      <x:c r="N39" s="44"/>
      <x:c r="O39" s="45" t="str">
        <x:f>IF(OR(H39="",N39=""),"",H39*N39)</x:f>
      </x:c>
      <x:c r="P39" s="26" t="str">
        <x:v>升级门：编码器分辨率、轮速闭环、丢脉冲和低速控制验证</x:v>
      </x:c>
      <x:c r="Q39" s="26" t="str">
        <x:v>不与普通TT马达重复采购；二选一</x:v>
      </x:c>
      <x:c r="R39" s="26" t="str">
        <x:v>ESP32 Sim2Real调研；系统架构 §5.1</x:v>
      </x:c>
    </x:row>
    <x:row r="40" ht="39" customHeight="1">
      <x:c r="A40" s="38" t="n">
        <x:v>35</x:v>
      </x:c>
      <x:c r="B40" s="38" t="str">
        <x:v>排除</x:v>
      </x:c>
      <x:c r="C40" s="26" t="str">
        <x:v>舵机</x:v>
      </x:c>
      <x:c r="D40" s="26" t="str">
        <x:v>SG90（360°）</x:v>
      </x:c>
      <x:c r="E40" s="26" t="str">
        <x:v>连续旋转舵机，不能提供可重复的目标角度</x:v>
      </x:c>
      <x:c r="F40" s="43" t="n">
        <x:v>0</x:v>
      </x:c>
      <x:c r="G40" s="43" t="n">
        <x:v>0</x:v>
      </x:c>
      <x:c r="H40" s="43" t="n">
        <x:f>MAX(0,F40-G40)</x:f>
        <x:v>0</x:v>
      </x:c>
      <x:c r="I40" s="38" t="str">
        <x:v>个</x:v>
      </x:c>
      <x:c r="J40" s="38" t="str">
        <x:v>比赛物料</x:v>
      </x:c>
      <x:c r="K40" s="38" t="str">
        <x:v>50</x:v>
      </x:c>
      <x:c r="L40" s="43" t="n">
        <x:v>30</x:v>
      </x:c>
      <x:c r="M40" s="38" t="str">
        <x:v>排除</x:v>
      </x:c>
      <x:c r="N40" s="44"/>
      <x:c r="O40" s="45" t="str">
        <x:f>IF(OR(H40="",N40=""),"",H40*N40)</x:f>
      </x:c>
      <x:c r="P40" s="26" t="str">
        <x:v>不得用于转头、点头或嘴部定位</x:v>
      </x:c>
      <x:c r="Q40" s="26" t="str">
        <x:v>可留作尾巴连续旋转实验，但不进入P0 BOM</x:v>
      </x:c>
      <x:c r="R40" s="26" t="str">
        <x:v>黑客松物料表-原图.png</x:v>
      </x:c>
    </x:row>
    <x:row r="41" ht="39" customHeight="1">
      <x:c r="A41" s="38" t="n">
        <x:v>36</x:v>
      </x:c>
      <x:c r="B41" s="38" t="str">
        <x:v>排除</x:v>
      </x:c>
      <x:c r="C41" s="26" t="str">
        <x:v>音频输入</x:v>
      </x:c>
      <x:c r="D41" s="26" t="str">
        <x:v>麦克风声音传感器模块</x:v>
      </x:c>
      <x:c r="E41" s="26" t="str">
        <x:v>只能检测声音幅度，不能替代语音采集麦克风</x:v>
      </x:c>
      <x:c r="F41" s="43" t="n">
        <x:v>0</x:v>
      </x:c>
      <x:c r="G41" s="43" t="n">
        <x:v>0</x:v>
      </x:c>
      <x:c r="H41" s="43" t="n">
        <x:f>MAX(0,F41-G41)</x:f>
        <x:v>0</x:v>
      </x:c>
      <x:c r="I41" s="38" t="str">
        <x:v>块</x:v>
      </x:c>
      <x:c r="J41" s="38" t="str">
        <x:v>比赛物料</x:v>
      </x:c>
      <x:c r="K41" s="38" t="str">
        <x:v>35</x:v>
      </x:c>
      <x:c r="L41" s="43" t="n">
        <x:v>33</x:v>
      </x:c>
      <x:c r="M41" s="38" t="str">
        <x:v>排除</x:v>
      </x:c>
      <x:c r="N41" s="44"/>
      <x:c r="O41" s="45" t="str">
        <x:f>IF(OR(H41="",N41=""),"",H41*N41)</x:f>
      </x:c>
      <x:c r="P41" s="26" t="str">
        <x:v>不得用于ASR/KWS音频输入</x:v>
      </x:c>
      <x:c r="Q41" s="26" t="str">
        <x:v>语音链路使用INMP441</x:v>
      </x:c>
      <x:c r="R41" s="26" t="str">
        <x:v>黑客松物料表-原图.png</x:v>
      </x:c>
    </x:row>
    <x:row r="42" ht="39" customHeight="1">
      <x:c r="A42" s="39" t="n">
        <x:v>37</x:v>
      </x:c>
      <x:c r="B42" s="39" t="str">
        <x:v>排除</x:v>
      </x:c>
      <x:c r="C42" s="27" t="str">
        <x:v>电源</x:v>
      </x:c>
      <x:c r="D42" s="27" t="str">
        <x:v>UNO R3移动电源电池盒+电池</x:v>
      </x:c>
      <x:c r="E42" s="27" t="str">
        <x:v>保护、串数、容量、放电能力和接口均未确认</x:v>
      </x:c>
      <x:c r="F42" s="46" t="n">
        <x:v>0</x:v>
      </x:c>
      <x:c r="G42" s="46" t="n">
        <x:v>0</x:v>
      </x:c>
      <x:c r="H42" s="46" t="n">
        <x:f>MAX(0,F42-G42)</x:f>
        <x:v>0</x:v>
      </x:c>
      <x:c r="I42" s="39" t="str">
        <x:v>套</x:v>
      </x:c>
      <x:c r="J42" s="39" t="str">
        <x:v>比赛物料</x:v>
      </x:c>
      <x:c r="K42" s="39" t="str">
        <x:v>66</x:v>
      </x:c>
      <x:c r="L42" s="46" t="n">
        <x:v>10</x:v>
      </x:c>
      <x:c r="M42" s="39" t="str">
        <x:v>排除</x:v>
      </x:c>
      <x:c r="N42" s="47"/>
      <x:c r="O42" s="48" t="str">
        <x:f>IF(OR(H42="",N42=""),"",H42*N42)</x:f>
      </x:c>
      <x:c r="P42" s="27" t="str">
        <x:v>未完成电池/BMS/充电合规核验前不得装机</x:v>
      </x:c>
      <x:c r="Q42" s="27" t="str">
        <x:v>正式方案使用成套2S保护电池与充电器</x:v>
      </x:c>
      <x:c r="R42" s="27" t="str">
        <x:v>黑客松物料表-原图.png</x:v>
      </x:c>
    </x:row>
  </x:sheetData>
  <x:mergeCells>
    <x:mergeCell ref="A1:R1"/>
    <x:mergeCell ref="A2:R3"/>
  </x:mergeCells>
  <x:conditionalFormatting sqref="M6:M42">
    <x:cfRule type="containsText" dxfId="0" priority="1" operator="containsText" text="排除"/>
    <x:cfRule type="containsText" dxfId="1" priority="2" operator="containsText" text="待实测"/>
    <x:cfRule type="containsText" dxfId="2" priority="3" operator="containsText" text="待称重"/>
    <x:cfRule type="containsText" dxfId="3" priority="4" operator="containsText" text="冻结"/>
    <x:cfRule type="containsText" dxfId="4" priority="5" operator="containsText" text="升级项"/>
  </x:conditionalFormatting>
  <x:dataValidations count="5">
    <x:dataValidation type="list" sqref="B6:B42">
      <x:formula1>"P0,P1,升级,排除"</x:formula1>
    </x:dataValidation>
    <x:dataValidation type="whole" operator="between" sqref="G6:G42">
      <x:formula1>0</x:formula1>
      <x:formula2>999</x:formula2>
    </x:dataValidation>
    <x:dataValidation type="list" sqref="J6:J42">
      <x:formula1>"比赛物料,自备,3D打印,未来升级"</x:formula1>
    </x:dataValidation>
    <x:dataValidation type="list" sqref="M6:M42">
      <x:formula1>"冻结,原型候选,首选待实测,备选,待实测,待称重选型,P1可选,升级项,排除"</x:formula1>
    </x:dataValidation>
    <x:dataValidation type="decimal" operator="between" sqref="N6:N42">
      <x:formula1>0</x:formula1>
      <x:formula2>100000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0f4f4b8176546e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35" hidden="0" customWidth="1"/>
    <x:col min="3" max="3" width="10.25" hidden="0" customWidth="1"/>
    <x:col min="4" max="4" width="10.25" hidden="0" customWidth="1"/>
    <x:col min="5" max="5" width="10.25" hidden="0" customWidth="1"/>
    <x:col min="6" max="6" width="25" hidden="0" customWidth="1"/>
    <x:col min="7" max="7" width="42.5" hidden="0" customWidth="1"/>
    <x:col min="8" max="8" width="26.25" hidden="0" customWidth="1"/>
  </x:cols>
  <x:sheetData>
    <x:row r="1" ht="28.5" customHeight="1">
      <x:c r="A1" s="4" t="str">
        <x:v>比赛物料映射与旧编号纠错</x:v>
      </x:c>
      <x:c r="B1" s="4"/>
      <x:c r="C1" s="4"/>
      <x:c r="D1" s="4"/>
      <x:c r="E1" s="4"/>
      <x:c r="F1" s="4"/>
      <x:c r="G1" s="4"/>
      <x:c r="H1" s="4"/>
    </x:row>
    <x:row r="2" ht="21" customHeight="1">
      <x:c r="A2" s="10" t="str">
        <x:v>只收录与牛来直接相关或曾被旧PRD误映射的条目。名称、编号和库存按原图抄录；原图本身存在“58、69、60”的编号跳号，因此六轴MEMS模块保留原图编号并标注疑点。库存是表中总数量，不代表团队已领取。</x:v>
      </x:c>
      <x:c r="B2" s="10"/>
      <x:c r="C2" s="10"/>
      <x:c r="D2" s="10"/>
      <x:c r="E2" s="10"/>
      <x:c r="F2" s="10"/>
      <x:c r="G2" s="10"/>
      <x:c r="H2" s="10"/>
    </x:row>
    <x:row r="3" ht="21" customHeight="1">
      <x:c r="A3" s="11"/>
      <x:c r="B3" s="11"/>
      <x:c r="C3" s="11"/>
      <x:c r="D3" s="11"/>
      <x:c r="E3" s="11"/>
      <x:c r="F3" s="11"/>
      <x:c r="G3" s="11"/>
      <x:c r="H3" s="11"/>
    </x:row>
    <x:row r="4" ht="7.5" customHeight="1"/>
    <x:row r="5" ht="25.5" customHeight="1">
      <x:c r="A5" s="17" t="str">
        <x:v>原图编号</x:v>
      </x:c>
      <x:c r="B5" s="17" t="str">
        <x:v>原图名称</x:v>
      </x:c>
      <x:c r="C5" s="17" t="str">
        <x:v>原图数量</x:v>
      </x:c>
      <x:c r="D5" s="17" t="str">
        <x:v>牛来决策</x:v>
      </x:c>
      <x:c r="E5" s="17" t="str">
        <x:v>计划数量</x:v>
      </x:c>
      <x:c r="F5" s="17" t="str">
        <x:v>用途</x:v>
      </x:c>
      <x:c r="G5" s="17" t="str">
        <x:v>纠错/限制</x:v>
      </x:c>
      <x:c r="H5" s="17" t="str">
        <x:v>证据</x:v>
      </x:c>
    </x:row>
    <x:row r="6" ht="36" customHeight="1">
      <x:c r="A6" s="37" t="str">
        <x:v>29</x:v>
      </x:c>
      <x:c r="B6" s="37" t="str">
        <x:v>按键开关模块</x:v>
      </x:c>
      <x:c r="C6" s="37" t="n">
        <x:v>33</x:v>
      </x:c>
      <x:c r="D6" s="37" t="str">
        <x:v>采用</x:v>
      </x:c>
      <x:c r="E6" s="37" t="n">
        <x:v>2</x:v>
      </x:c>
      <x:c r="F6" s="25" t="str">
        <x:v>鼻部确认/录音触发与调试输入</x:v>
      </x:c>
      <x:c r="G6" s="25" t="str">
        <x:v>不能替代锁存急停</x:v>
      </x:c>
      <x:c r="H6" s="25" t="str">
        <x:v>黑客松物料表-原图.png</x:v>
      </x:c>
    </x:row>
    <x:row r="7" ht="36" customHeight="1">
      <x:c r="A7" s="38" t="str">
        <x:v>35</x:v>
      </x:c>
      <x:c r="B7" s="38" t="str">
        <x:v>麦克风声音传感器模块</x:v>
      </x:c>
      <x:c r="C7" s="38" t="n">
        <x:v>33</x:v>
      </x:c>
      <x:c r="D7" s="38" t="str">
        <x:v>排除</x:v>
      </x:c>
      <x:c r="E7" s="38" t="n">
        <x:v>0</x:v>
      </x:c>
      <x:c r="F7" s="26" t="str">
        <x:v>仅能做声音幅度检测</x:v>
      </x:c>
      <x:c r="G7" s="26" t="str">
        <x:v>旧PRD将其当麦克风不准确；ASR使用INMP441</x:v>
      </x:c>
      <x:c r="H7" s="26" t="str">
        <x:v>黑客松物料表-原图.png</x:v>
      </x:c>
    </x:row>
    <x:row r="8" ht="36" customHeight="1">
      <x:c r="A8" s="38" t="str">
        <x:v>40</x:v>
      </x:c>
      <x:c r="B8" s="38" t="str">
        <x:v>MP1584EN降压模块</x:v>
      </x:c>
      <x:c r="C8" s="38" t="n">
        <x:v>33</x:v>
      </x:c>
      <x:c r="D8" s="38" t="str">
        <x:v>采用</x:v>
      </x:c>
      <x:c r="E8" s="38" t="n">
        <x:v>3</x:v>
      </x:c>
      <x:c r="F8" s="26" t="str">
        <x:v>逻辑/音频、舵机、电机分路候选</x:v>
      </x:c>
      <x:c r="G8" s="26" t="str">
        <x:v>具体路数和能力必须按峰值电流实测</x:v>
      </x:c>
      <x:c r="H8" s="26" t="str">
        <x:v>黑客松物料表-原图.png</x:v>
      </x:c>
    </x:row>
    <x:row r="9" ht="36" customHeight="1">
      <x:c r="A9" s="38" t="str">
        <x:v>41</x:v>
      </x:c>
      <x:c r="B9" s="38" t="str">
        <x:v>SD卡读卡模块</x:v>
      </x:c>
      <x:c r="C9" s="38" t="n">
        <x:v>33</x:v>
      </x:c>
      <x:c r="D9" s="38" t="str">
        <x:v>采用</x:v>
      </x:c>
      <x:c r="E9" s="38" t="n">
        <x:v>1</x:v>
      </x:c>
      <x:c r="F9" s="26" t="str">
        <x:v>P1结构化日志</x:v>
      </x:c>
      <x:c r="G9" s="26" t="str">
        <x:v>P0可先用串口/RAM环形日志</x:v>
      </x:c>
      <x:c r="H9" s="26" t="str">
        <x:v>黑客松物料表-原图.png</x:v>
      </x:c>
    </x:row>
    <x:row r="10" ht="36" customHeight="1">
      <x:c r="A10" s="38" t="str">
        <x:v>46</x:v>
      </x:c>
      <x:c r="B10" s="38" t="str">
        <x:v>ESP32 S3核心板板载1-N16R8</x:v>
      </x:c>
      <x:c r="C10" s="38" t="n">
        <x:v>40</x:v>
      </x:c>
      <x:c r="D10" s="38" t="str">
        <x:v>采用</x:v>
      </x:c>
      <x:c r="E10" s="38" t="n">
        <x:v>1</x:v>
      </x:c>
      <x:c r="F10" s="26" t="str">
        <x:v>主控</x:v>
      </x:c>
      <x:c r="G10" s="26" t="str">
        <x:v>旧PRD主控编号46正确；仍需复核实物丝印</x:v>
      </x:c>
      <x:c r="H10" s="26" t="str">
        <x:v>黑客松物料表-原图.png</x:v>
      </x:c>
    </x:row>
    <x:row r="11" ht="36" customHeight="1">
      <x:c r="A11" s="38" t="str">
        <x:v>47</x:v>
      </x:c>
      <x:c r="B11" s="38" t="str">
        <x:v>电阻包</x:v>
      </x:c>
      <x:c r="C11" s="38" t="n">
        <x:v>30</x:v>
      </x:c>
      <x:c r="D11" s="38" t="str">
        <x:v>采用</x:v>
      </x:c>
      <x:c r="E11" s="38" t="n">
        <x:v>1</x:v>
      </x:c>
      <x:c r="F11" s="26" t="str">
        <x:v>分压、上拉/下拉与调试</x:v>
      </x:c>
      <x:c r="G11" s="26" t="str">
        <x:v>最终装机使用焊接/端子</x:v>
      </x:c>
      <x:c r="H11" s="26" t="str">
        <x:v>黑客松物料表-原图.png</x:v>
      </x:c>
    </x:row>
    <x:row r="12" ht="36" customHeight="1">
      <x:c r="A12" s="38" t="str">
        <x:v>48</x:v>
      </x:c>
      <x:c r="B12" s="38" t="str">
        <x:v>面包板</x:v>
      </x:c>
      <x:c r="C12" s="38" t="n">
        <x:v>40</x:v>
      </x:c>
      <x:c r="D12" s="38" t="str">
        <x:v>采用</x:v>
      </x:c>
      <x:c r="E12" s="38" t="n">
        <x:v>1</x:v>
      </x:c>
      <x:c r="F12" s="26" t="str">
        <x:v>桌面原型</x:v>
      </x:c>
      <x:c r="G12" s="26" t="str">
        <x:v>不进入移动整机</x:v>
      </x:c>
      <x:c r="H12" s="26" t="str">
        <x:v>黑客松物料表-原图.png</x:v>
      </x:c>
    </x:row>
    <x:row r="13" ht="36" customHeight="1">
      <x:c r="A13" s="38" t="str">
        <x:v>49</x:v>
      </x:c>
      <x:c r="B13" s="38" t="str">
        <x:v>杜邦线（公公、公母、母母）</x:v>
      </x:c>
      <x:c r="C13" s="38" t="n">
        <x:v>40</x:v>
      </x:c>
      <x:c r="D13" s="38" t="str">
        <x:v>采用</x:v>
      </x:c>
      <x:c r="E13" s="38" t="n">
        <x:v>1</x:v>
      </x:c>
      <x:c r="F13" s="26" t="str">
        <x:v>桌面联调</x:v>
      </x:c>
      <x:c r="G13" s="26" t="str">
        <x:v>G2前换锁止接插件</x:v>
      </x:c>
      <x:c r="H13" s="26" t="str">
        <x:v>黑客松物料表-原图.png</x:v>
      </x:c>
    </x:row>
    <x:row r="14" ht="36" customHeight="1">
      <x:c r="A14" s="38" t="str">
        <x:v>50</x:v>
      </x:c>
      <x:c r="B14" s="38" t="str">
        <x:v>SG90（360）</x:v>
      </x:c>
      <x:c r="C14" s="38" t="n">
        <x:v>30</x:v>
      </x:c>
      <x:c r="D14" s="38" t="str">
        <x:v>排除</x:v>
      </x:c>
      <x:c r="E14" s="38" t="n">
        <x:v>0</x:v>
      </x:c>
      <x:c r="F14" s="26" t="str">
        <x:v>连续旋转</x:v>
      </x:c>
      <x:c r="G14" s="26" t="str">
        <x:v>旧PRD把50号用于转头/点头错误；需自备180°定位舵机</x:v>
      </x:c>
      <x:c r="H14" s="26" t="str">
        <x:v>黑客松物料表-原图.png</x:v>
      </x:c>
    </x:row>
    <x:row r="15" ht="36" customHeight="1">
      <x:c r="A15" s="38" t="str">
        <x:v>51</x:v>
      </x:c>
      <x:c r="B15" s="38" t="str">
        <x:v>TT马达</x:v>
      </x:c>
      <x:c r="C15" s="38" t="n">
        <x:v>20</x:v>
      </x:c>
      <x:c r="D15" s="38" t="str">
        <x:v>采用</x:v>
      </x:c>
      <x:c r="E15" s="38" t="n">
        <x:v>2</x:v>
      </x:c>
      <x:c r="F15" s="26" t="str">
        <x:v>P0两驱底盘</x:v>
      </x:c>
      <x:c r="G15" s="26" t="str">
        <x:v>原型候选；最终按假负载和堵转电流决定</x:v>
      </x:c>
      <x:c r="H15" s="26" t="str">
        <x:v>黑客松物料表-原图.png</x:v>
      </x:c>
    </x:row>
    <x:row r="16" ht="36" customHeight="1">
      <x:c r="A16" s="38" t="str">
        <x:v>52</x:v>
      </x:c>
      <x:c r="B16" s="38" t="str">
        <x:v>1.54寸OLED屏幕</x:v>
      </x:c>
      <x:c r="C16" s="38" t="n">
        <x:v>5</x:v>
      </x:c>
      <x:c r="D16" s="38" t="str">
        <x:v>备选</x:v>
      </x:c>
      <x:c r="E16" s="38" t="n">
        <x:v>0</x:v>
      </x:c>
      <x:c r="F16" s="26" t="str">
        <x:v>小屏备选</x:v>
      </x:c>
      <x:c r="G16" s="26" t="str">
        <x:v>首选53号2.42寸双眼共屏</x:v>
      </x:c>
      <x:c r="H16" s="26" t="str">
        <x:v>黑客松物料表-原图.png</x:v>
      </x:c>
    </x:row>
    <x:row r="17" ht="36" customHeight="1">
      <x:c r="A17" s="38" t="str">
        <x:v>53</x:v>
      </x:c>
      <x:c r="B17" s="38" t="str">
        <x:v>2.42寸OLED屏幕</x:v>
      </x:c>
      <x:c r="C17" s="38" t="n">
        <x:v>5</x:v>
      </x:c>
      <x:c r="D17" s="38" t="str">
        <x:v>采用</x:v>
      </x:c>
      <x:c r="E17" s="38" t="n">
        <x:v>1</x:v>
      </x:c>
      <x:c r="F17" s="26" t="str">
        <x:v>双眼表情显示</x:v>
      </x:c>
      <x:c r="G17" s="26" t="str">
        <x:v>旧PRD写53/54不准确；54号是压力传感器</x:v>
      </x:c>
      <x:c r="H17" s="26" t="str">
        <x:v>黑客松物料表-原图.png</x:v>
      </x:c>
    </x:row>
    <x:row r="18" ht="36" customHeight="1">
      <x:c r="A18" s="38" t="str">
        <x:v>54</x:v>
      </x:c>
      <x:c r="B18" s="38" t="str">
        <x:v>RFP602压力传感器</x:v>
      </x:c>
      <x:c r="C18" s="38" t="n">
        <x:v>30</x:v>
      </x:c>
      <x:c r="D18" s="38" t="str">
        <x:v>排除</x:v>
      </x:c>
      <x:c r="E18" s="38" t="n">
        <x:v>0</x:v>
      </x:c>
      <x:c r="F18" s="26" t="str">
        <x:v>本版无刚需</x:v>
      </x:c>
      <x:c r="G18" s="26" t="str">
        <x:v>旧PRD将54号误当OLED；原图54号为压力传感器</x:v>
      </x:c>
      <x:c r="H18" s="26" t="str">
        <x:v>黑客松物料表-原图.png</x:v>
      </x:c>
    </x:row>
    <x:row r="19" ht="36" customHeight="1">
      <x:c r="A19" s="38" t="str">
        <x:v>55</x:v>
      </x:c>
      <x:c r="B19" s="38" t="str">
        <x:v>4欧喇叭</x:v>
      </x:c>
      <x:c r="C19" s="38" t="n">
        <x:v>30</x:v>
      </x:c>
      <x:c r="D19" s="38" t="str">
        <x:v>采用</x:v>
      </x:c>
      <x:c r="E19" s="38" t="n">
        <x:v>1</x:v>
      </x:c>
      <x:c r="F19" s="26" t="str">
        <x:v>语音播放</x:v>
      </x:c>
      <x:c r="G19" s="26" t="str">
        <x:v>必须配MAX98357A功放</x:v>
      </x:c>
      <x:c r="H19" s="26" t="str">
        <x:v>黑客松物料表-原图.png</x:v>
      </x:c>
    </x:row>
    <x:row r="20" ht="36" customHeight="1">
      <x:c r="A20" s="38" t="str">
        <x:v>57</x:v>
      </x:c>
      <x:c r="B20" s="38" t="str">
        <x:v>WS2812灯带</x:v>
      </x:c>
      <x:c r="C20" s="38" t="n">
        <x:v>40</x:v>
      </x:c>
      <x:c r="D20" s="38" t="str">
        <x:v>采用</x:v>
      </x:c>
      <x:c r="E20" s="38" t="n">
        <x:v>1</x:v>
      </x:c>
      <x:c r="F20" s="26" t="str">
        <x:v>P1情绪灯效</x:v>
      </x:c>
      <x:c r="G20" s="26" t="str">
        <x:v>先核算全亮电流</x:v>
      </x:c>
      <x:c r="H20" s="26" t="str">
        <x:v>黑客松物料表-原图.png</x:v>
      </x:c>
    </x:row>
    <x:row r="21" ht="36" customHeight="1">
      <x:c r="A21" s="38" t="str">
        <x:v>69（疑似59）</x:v>
      </x:c>
      <x:c r="B21" s="38" t="str">
        <x:v>（BCG）高性能6轴MEMS运动跟踪传感器模块</x:v>
      </x:c>
      <x:c r="C21" s="38" t="n">
        <x:v>5</x:v>
      </x:c>
      <x:c r="D21" s="38" t="str">
        <x:v>待确认</x:v>
      </x:c>
      <x:c r="E21" s="38" t="n">
        <x:v>1</x:v>
      </x:c>
      <x:c r="F21" s="26" t="str">
        <x:v>姿态/Sim2Real候选</x:v>
      </x:c>
      <x:c r="G21" s="26" t="str">
        <x:v>原图顺序58、69、60，疑似编号笔误；先按原图保留</x:v>
      </x:c>
      <x:c r="H21" s="26" t="str">
        <x:v>黑客松物料表-原图.png</x:v>
      </x:c>
    </x:row>
    <x:row r="22" ht="36" customHeight="1">
      <x:c r="A22" s="38" t="str">
        <x:v>60</x:v>
      </x:c>
      <x:c r="B22" s="38" t="str">
        <x:v>24Ghz毫米波雷达（100度范围，16m存在，25m运动）</x:v>
      </x:c>
      <x:c r="C22" s="38" t="n">
        <x:v>3</x:v>
      </x:c>
      <x:c r="D22" s="38" t="str">
        <x:v>备选</x:v>
      </x:c>
      <x:c r="E22" s="38" t="n">
        <x:v>0</x:v>
      </x:c>
      <x:c r="F22" s="26" t="str">
        <x:v>人员存在检测备选</x:v>
      </x:c>
      <x:c r="G22" s="26" t="str">
        <x:v>61号不可用时再评估</x:v>
      </x:c>
      <x:c r="H22" s="26" t="str">
        <x:v>黑客松物料表-原图.png</x:v>
      </x:c>
    </x:row>
    <x:row r="23" ht="36" customHeight="1">
      <x:c r="A23" s="38" t="str">
        <x:v>61</x:v>
      </x:c>
      <x:c r="B23" s="38" t="str">
        <x:v>24Ghz毫米波雷达（120×120，运动11m，微动10m）</x:v>
      </x:c>
      <x:c r="C23" s="38" t="n">
        <x:v>5</x:v>
      </x:c>
      <x:c r="D23" s="38" t="str">
        <x:v>采用</x:v>
      </x:c>
      <x:c r="E23" s="38" t="n">
        <x:v>1</x:v>
      </x:c>
      <x:c r="F23" s="26" t="str">
        <x:v>人员存在检测首选</x:v>
      </x:c>
      <x:c r="G23" s="26" t="str">
        <x:v>型号、接口和参数均需实物核验</x:v>
      </x:c>
      <x:c r="H23" s="26" t="str">
        <x:v>黑客松物料表-原图.png</x:v>
      </x:c>
    </x:row>
    <x:row r="24" ht="36" customHeight="1">
      <x:c r="A24" s="38" t="str">
        <x:v>66</x:v>
      </x:c>
      <x:c r="B24" s="38" t="str">
        <x:v>UNO R3移动电源电池盒+电池</x:v>
      </x:c>
      <x:c r="C24" s="38" t="n">
        <x:v>10</x:v>
      </x:c>
      <x:c r="D24" s="38" t="str">
        <x:v>排除</x:v>
      </x:c>
      <x:c r="E24" s="38" t="n">
        <x:v>0</x:v>
      </x:c>
      <x:c r="F24" s="26" t="str">
        <x:v>不进入正式供电</x:v>
      </x:c>
      <x:c r="G24" s="26" t="str">
        <x:v>保护、放电与充电方案不明；改用成套2S保护电池</x:v>
      </x:c>
      <x:c r="H24" s="26" t="str">
        <x:v>黑客松物料表-原图.png</x:v>
      </x:c>
    </x:row>
    <x:row r="25" ht="36" customHeight="1">
      <x:c r="A25" s="39" t="str">
        <x:v>67</x:v>
      </x:c>
      <x:c r="B25" s="39" t="str">
        <x:v>超声波HC-SR04</x:v>
      </x:c>
      <x:c r="C25" s="39" t="n">
        <x:v>10</x:v>
      </x:c>
      <x:c r="D25" s="39" t="str">
        <x:v>采用</x:v>
      </x:c>
      <x:c r="E25" s="39" t="n">
        <x:v>1</x:v>
      </x:c>
      <x:c r="F25" s="27" t="str">
        <x:v>前向避障</x:v>
      </x:c>
      <x:c r="G25" s="27" t="str">
        <x:v>Echo必须做5V→3.3V电平转换</x:v>
      </x:c>
      <x:c r="H25" s="27" t="str">
        <x:v>黑客松物料表-原图.png</x:v>
      </x:c>
    </x:row>
  </x:sheetData>
  <x:mergeCells>
    <x:mergeCell ref="A1:H1"/>
    <x:mergeCell ref="A2:H3"/>
  </x:mergeCells>
  <x:conditionalFormatting sqref="D6:D25">
    <x:cfRule type="containsText" dxfId="5" priority="1" operator="containsText" text="采用"/>
    <x:cfRule type="containsText" dxfId="6" priority="2" operator="containsText" text="排除"/>
    <x:cfRule type="containsText" dxfId="7" priority="3" operator="containsText" text="待确认"/>
  </x:conditionalFormatting>
  <x:dataValidations count="1">
    <x:dataValidation type="list" sqref="D6:D25">
      <x:formula1>"采用,备选,待确认,排除"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6cb16828e345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9.5" hidden="0" customWidth="1"/>
    <x:col min="3" max="3" width="10.25" hidden="0" customWidth="1"/>
    <x:col min="4" max="4" width="23.75" hidden="0" customWidth="1"/>
    <x:col min="5" max="5" width="37.5" hidden="0" customWidth="1"/>
    <x:col min="6" max="6" width="8.75" hidden="0" customWidth="1"/>
    <x:col min="7" max="7" width="8.75" hidden="0" customWidth="1"/>
    <x:col min="8" max="8" width="9" hidden="0" customWidth="1"/>
    <x:col min="9" max="9" width="6" hidden="0" customWidth="1"/>
    <x:col min="10" max="10" width="12.5" hidden="0" customWidth="1"/>
    <x:col min="11" max="11" width="12" hidden="0" customWidth="1"/>
    <x:col min="12" max="12" width="12" hidden="0" customWidth="1"/>
    <x:col min="13" max="13" width="37.5" hidden="0" customWidth="1"/>
  </x:cols>
  <x:sheetData>
    <x:row r="1" ht="28.5" customHeight="1">
      <x:c r="A1" s="4" t="str">
        <x:v>采购缺口 · 自备 / 3D打印 / Sim2Real升级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1" customHeight="1">
      <x:c r="A2" s="10" t="str">
        <x:v>本表由“牛来BOM”公式引用生成，请在主表更新数量、预算与状态。普通TT马达可支持P0开环原型，但Sim2Real需要编码器反馈；升级件不得与普通TT方案重复采购。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21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</x:row>
    <x:row r="4" ht="7.5" customHeight="1"/>
    <x:row r="5" ht="25.5" customHeight="1">
      <x:c r="A5" s="17" t="str">
        <x:v>序号</x:v>
      </x:c>
      <x:c r="B5" s="17" t="str">
        <x:v>缺口类型</x:v>
      </x:c>
      <x:c r="C5" s="17" t="str">
        <x:v>子系统</x:v>
      </x:c>
      <x:c r="D5" s="17" t="str">
        <x:v>物料</x:v>
      </x:c>
      <x:c r="E5" s="17" t="str">
        <x:v>规格</x:v>
      </x:c>
      <x:c r="F5" s="17" t="str">
        <x:v>需求数量</x:v>
      </x:c>
      <x:c r="G5" s="17" t="str">
        <x:v>已领/已有</x:v>
      </x:c>
      <x:c r="H5" s="17" t="str">
        <x:v>待购数量</x:v>
      </x:c>
      <x:c r="I5" s="17" t="str">
        <x:v>单位</x:v>
      </x:c>
      <x:c r="J5" s="17" t="str">
        <x:v>状态</x:v>
      </x:c>
      <x:c r="K5" s="17" t="str">
        <x:v>预算单价（元）</x:v>
      </x:c>
      <x:c r="L5" s="17" t="str">
        <x:v>预算小计（元）</x:v>
      </x:c>
      <x:c r="M5" s="17" t="str">
        <x:v>验证门禁</x:v>
      </x:c>
    </x:row>
    <x:row r="6" ht="36" customHeight="1">
      <x:c r="A6" s="37" t="n">
        <x:f>'牛来BOM'!A21</x:f>
        <x:v>16</x:v>
      </x:c>
      <x:c r="B6" s="37" t="str">
        <x:f>'牛来BOM'!J21</x:f>
        <x:v>自备</x:v>
      </x:c>
      <x:c r="C6" s="37" t="str">
        <x:f>'牛来BOM'!C21</x:f>
        <x:v>电机驱动</x:v>
      </x:c>
      <x:c r="D6" s="37" t="str">
        <x:f>'牛来BOM'!D21</x:f>
        <x:v>DRV8833双路电机驱动模块</x:v>
      </x:c>
      <x:c r="E6" s="25" t="str">
        <x:f>'牛来BOM'!E21</x:f>
        <x:v>1.5A RMS/桥为芯片级参考；模块散热与堵转电流必须实测</x:v>
      </x:c>
      <x:c r="F6" s="40" t="n">
        <x:f>'牛来BOM'!F21</x:f>
        <x:v>1</x:v>
      </x:c>
      <x:c r="G6" s="40" t="n">
        <x:f>'牛来BOM'!G21</x:f>
        <x:v>0</x:v>
      </x:c>
      <x:c r="H6" s="40" t="n">
        <x:f>'牛来BOM'!H21</x:f>
        <x:v>1</x:v>
      </x:c>
      <x:c r="I6" s="37" t="str">
        <x:f>'牛来BOM'!I21</x:f>
        <x:v>块</x:v>
      </x:c>
      <x:c r="J6" s="37" t="str">
        <x:f>'牛来BOM'!M21</x:f>
        <x:v>首选待实测</x:v>
      </x:c>
      <x:c r="K6" s="42" t="str">
        <x:f>IF('牛来BOM'!N21="","",'牛来BOM'!N21)</x:f>
      </x:c>
      <x:c r="L6" s="42" t="str">
        <x:f>IF('牛来BOM'!O21="","",'牛来BOM'!O21)</x:f>
      </x:c>
      <x:c r="M6" s="25" t="str">
        <x:f>'牛来BOM'!P21</x:f>
        <x:v>G1：驱动持续/峰值电流、堵转保护与30分钟温升</x:v>
      </x:c>
    </x:row>
    <x:row r="7" ht="36" customHeight="1">
      <x:c r="A7" s="38" t="n">
        <x:f>'牛来BOM'!A22</x:f>
        <x:v>17</x:v>
      </x:c>
      <x:c r="B7" s="38" t="str">
        <x:f>'牛来BOM'!J22</x:f>
        <x:v>自备</x:v>
      </x:c>
      <x:c r="C7" s="38" t="str">
        <x:f>'牛来BOM'!C22</x:f>
        <x:v>音频输入</x:v>
      </x:c>
      <x:c r="D7" s="38" t="str">
        <x:f>'牛来BOM'!D22</x:f>
        <x:v>INMP441 I2S麦克风</x:v>
      </x:c>
      <x:c r="E7" s="26" t="str">
        <x:f>'牛来BOM'!E22</x:f>
        <x:v>16kHz单声道；耳部安装并远离扬声器和电机</x:v>
      </x:c>
      <x:c r="F7" s="43" t="n">
        <x:f>'牛来BOM'!F22</x:f>
        <x:v>1</x:v>
      </x:c>
      <x:c r="G7" s="43" t="n">
        <x:f>'牛来BOM'!G22</x:f>
        <x:v>0</x:v>
      </x:c>
      <x:c r="H7" s="43" t="n">
        <x:f>'牛来BOM'!H22</x:f>
        <x:v>1</x:v>
      </x:c>
      <x:c r="I7" s="38" t="str">
        <x:f>'牛来BOM'!I22</x:f>
        <x:v>块</x:v>
      </x:c>
      <x:c r="J7" s="38" t="str">
        <x:f>'牛来BOM'!M22</x:f>
        <x:v>冻结</x:v>
      </x:c>
      <x:c r="K7" s="45" t="str">
        <x:f>IF('牛来BOM'!N22="","",'牛来BOM'!N22)</x:f>
      </x:c>
      <x:c r="L7" s="45" t="str">
        <x:f>IF('牛来BOM'!O22="","",'牛来BOM'!O22)</x:f>
      </x:c>
      <x:c r="M7" s="26" t="str">
        <x:f>'牛来BOM'!P22</x:f>
        <x:v>G1：装壳前后KWS/录音信噪比与电机噪声测试</x:v>
      </x:c>
    </x:row>
    <x:row r="8" ht="36" customHeight="1">
      <x:c r="A8" s="38" t="n">
        <x:f>'牛来BOM'!A23</x:f>
        <x:v>18</x:v>
      </x:c>
      <x:c r="B8" s="38" t="str">
        <x:f>'牛来BOM'!J23</x:f>
        <x:v>自备</x:v>
      </x:c>
      <x:c r="C8" s="38" t="str">
        <x:f>'牛来BOM'!C23</x:f>
        <x:v>音频输出</x:v>
      </x:c>
      <x:c r="D8" s="38" t="str">
        <x:f>'牛来BOM'!D23</x:f>
        <x:v>MAX98357A I2S功放</x:v>
      </x:c>
      <x:c r="E8" s="26" t="str">
        <x:f>'牛来BOM'!E23</x:f>
        <x:v>驱动4Ω扬声器；逻辑/音频独立供电</x:v>
      </x:c>
      <x:c r="F8" s="43" t="n">
        <x:f>'牛来BOM'!F23</x:f>
        <x:v>1</x:v>
      </x:c>
      <x:c r="G8" s="43" t="n">
        <x:f>'牛来BOM'!G23</x:f>
        <x:v>0</x:v>
      </x:c>
      <x:c r="H8" s="43" t="n">
        <x:f>'牛来BOM'!H23</x:f>
        <x:v>1</x:v>
      </x:c>
      <x:c r="I8" s="38" t="str">
        <x:f>'牛来BOM'!I23</x:f>
        <x:v>块</x:v>
      </x:c>
      <x:c r="J8" s="38" t="str">
        <x:f>'牛来BOM'!M23</x:f>
        <x:v>冻结</x:v>
      </x:c>
      <x:c r="K8" s="45" t="str">
        <x:f>IF('牛来BOM'!N23="","",'牛来BOM'!N23)</x:f>
      </x:c>
      <x:c r="L8" s="45" t="str">
        <x:f>IF('牛来BOM'!O23="","",'牛来BOM'!O23)</x:f>
      </x:c>
      <x:c r="M8" s="26" t="str">
        <x:f>'牛来BOM'!P23</x:f>
        <x:v>G1：最大音量、失真、温升与电源压降测试</x:v>
      </x:c>
    </x:row>
    <x:row r="9" ht="36" customHeight="1">
      <x:c r="A9" s="38" t="n">
        <x:f>'牛来BOM'!A24</x:f>
        <x:v>19</x:v>
      </x:c>
      <x:c r="B9" s="38" t="str">
        <x:f>'牛来BOM'!J24</x:f>
        <x:v>自备</x:v>
      </x:c>
      <x:c r="C9" s="38" t="str">
        <x:f>'牛来BOM'!C24</x:f>
        <x:v>头部动作</x:v>
      </x:c>
      <x:c r="D9" s="38" t="str">
        <x:f>'牛来BOM'!D24</x:f>
        <x:v>180°可定位金属齿舵机</x:v>
      </x:c>
      <x:c r="E9" s="26" t="str">
        <x:f>'牛来BOM'!E24</x:f>
        <x:v>转头/点头两轴；扭矩按头部实重与力臂×2.5动态系数选</x:v>
      </x:c>
      <x:c r="F9" s="43" t="n">
        <x:f>'牛来BOM'!F24</x:f>
        <x:v>2</x:v>
      </x:c>
      <x:c r="G9" s="43" t="n">
        <x:f>'牛来BOM'!G24</x:f>
        <x:v>0</x:v>
      </x:c>
      <x:c r="H9" s="43" t="n">
        <x:f>'牛来BOM'!H24</x:f>
        <x:v>2</x:v>
      </x:c>
      <x:c r="I9" s="38" t="str">
        <x:f>'牛来BOM'!I24</x:f>
        <x:v>个</x:v>
      </x:c>
      <x:c r="J9" s="38" t="str">
        <x:f>'牛来BOM'!M24</x:f>
        <x:v>待称重选型</x:v>
      </x:c>
      <x:c r="K9" s="45" t="str">
        <x:f>IF('牛来BOM'!N24="","",'牛来BOM'!N24)</x:f>
      </x:c>
      <x:c r="L9" s="45" t="str">
        <x:f>IF('牛来BOM'!O24="","",'牛来BOM'!O24)</x:f>
      </x:c>
      <x:c r="M9" s="26" t="str">
        <x:f>'牛来BOM'!P24</x:f>
        <x:v>G0/G2：称重算扭矩、软/机械限位、卡滞与100次循环</x:v>
      </x:c>
    </x:row>
    <x:row r="10" ht="36" customHeight="1">
      <x:c r="A10" s="38" t="n">
        <x:f>'牛来BOM'!A25</x:f>
        <x:v>20</x:v>
      </x:c>
      <x:c r="B10" s="38" t="str">
        <x:f>'牛来BOM'!J25</x:f>
        <x:v>自备</x:v>
      </x:c>
      <x:c r="C10" s="38" t="str">
        <x:f>'牛来BOM'!C25</x:f>
        <x:v>嘴部动作</x:v>
      </x:c>
      <x:c r="D10" s="38" t="str">
        <x:f>'牛来BOM'!D25</x:f>
        <x:v>180°微型定位舵机</x:v>
      </x:c>
      <x:c r="E10" s="26" t="str">
        <x:f>'牛来BOM'!E25</x:f>
        <x:v>嘴部开合；弹簧回位并设置机械限位</x:v>
      </x:c>
      <x:c r="F10" s="43" t="n">
        <x:f>'牛来BOM'!F25</x:f>
        <x:v>1</x:v>
      </x:c>
      <x:c r="G10" s="43" t="n">
        <x:f>'牛来BOM'!G25</x:f>
        <x:v>0</x:v>
      </x:c>
      <x:c r="H10" s="43" t="n">
        <x:f>'牛来BOM'!H25</x:f>
        <x:v>1</x:v>
      </x:c>
      <x:c r="I10" s="38" t="str">
        <x:f>'牛来BOM'!I25</x:f>
        <x:v>个</x:v>
      </x:c>
      <x:c r="J10" s="38" t="str">
        <x:f>'牛来BOM'!M25</x:f>
        <x:v>待称重选型</x:v>
      </x:c>
      <x:c r="K10" s="45" t="str">
        <x:f>IF('牛来BOM'!N25="","",'牛来BOM'!N25)</x:f>
      </x:c>
      <x:c r="L10" s="45" t="str">
        <x:f>IF('牛来BOM'!O25="","",'牛来BOM'!O25)</x:f>
      </x:c>
      <x:c r="M10" s="26" t="str">
        <x:f>'牛来BOM'!P25</x:f>
        <x:v>G2：软限位、堵转超时、线缆余量和100次循环</x:v>
      </x:c>
    </x:row>
    <x:row r="11" ht="36" customHeight="1">
      <x:c r="A11" s="38" t="n">
        <x:f>'牛来BOM'!A26</x:f>
        <x:v>21</x:v>
      </x:c>
      <x:c r="B11" s="38" t="str">
        <x:f>'牛来BOM'!J26</x:f>
        <x:v>自备</x:v>
      </x:c>
      <x:c r="C11" s="38" t="str">
        <x:f>'牛来BOM'!C26</x:f>
        <x:v>电源</x:v>
      </x:c>
      <x:c r="D11" s="38" t="str">
        <x:f>'牛来BOM'!D26</x:f>
        <x:v>2S带保护电池包</x:v>
      </x:c>
      <x:c r="E11" s="26" t="str">
        <x:f>'牛来BOM'!E26</x:f>
        <x:v>7.4V标称；容量、放电倍率、接口与认证待最终负载确认</x:v>
      </x:c>
      <x:c r="F11" s="43" t="n">
        <x:f>'牛来BOM'!F26</x:f>
        <x:v>1</x:v>
      </x:c>
      <x:c r="G11" s="43" t="n">
        <x:f>'牛来BOM'!G26</x:f>
        <x:v>0</x:v>
      </x:c>
      <x:c r="H11" s="43" t="n">
        <x:f>'牛来BOM'!H26</x:f>
        <x:v>1</x:v>
      </x:c>
      <x:c r="I11" s="38" t="str">
        <x:f>'牛来BOM'!I26</x:f>
        <x:v>包</x:v>
      </x:c>
      <x:c r="J11" s="38" t="str">
        <x:f>'牛来BOM'!M26</x:f>
        <x:v>待实测</x:v>
      </x:c>
      <x:c r="K11" s="45" t="str">
        <x:f>IF('牛来BOM'!N26="","",'牛来BOM'!N26)</x:f>
      </x:c>
      <x:c r="L11" s="45" t="str">
        <x:f>IF('牛来BOM'!O26="","",'牛来BOM'!O26)</x:f>
      </x:c>
      <x:c r="M11" s="26" t="str">
        <x:f>'牛来BOM'!P26</x:f>
        <x:v>G1：BMS、反接、峰值电流、低电阈值、固定与运输检查</x:v>
      </x:c>
    </x:row>
    <x:row r="12" ht="36" customHeight="1">
      <x:c r="A12" s="38" t="n">
        <x:f>'牛来BOM'!A27</x:f>
        <x:v>22</x:v>
      </x:c>
      <x:c r="B12" s="38" t="str">
        <x:f>'牛来BOM'!J27</x:f>
        <x:v>自备</x:v>
      </x:c>
      <x:c r="C12" s="38" t="str">
        <x:f>'牛来BOM'!C27</x:f>
        <x:v>充电</x:v>
      </x:c>
      <x:c r="D12" s="38" t="str">
        <x:f>'牛来BOM'!D27</x:f>
        <x:v>8.4V合规充电器</x:v>
      </x:c>
      <x:c r="E12" s="26" t="str">
        <x:f>'牛来BOM'!E27</x:f>
        <x:v>与2S电池化学体系、接口和充电电流匹配</x:v>
      </x:c>
      <x:c r="F12" s="43" t="n">
        <x:f>'牛来BOM'!F27</x:f>
        <x:v>1</x:v>
      </x:c>
      <x:c r="G12" s="43" t="n">
        <x:f>'牛来BOM'!G27</x:f>
        <x:v>0</x:v>
      </x:c>
      <x:c r="H12" s="43" t="n">
        <x:f>'牛来BOM'!H27</x:f>
        <x:v>1</x:v>
      </x:c>
      <x:c r="I12" s="38" t="str">
        <x:f>'牛来BOM'!I27</x:f>
        <x:v>个</x:v>
      </x:c>
      <x:c r="J12" s="38" t="str">
        <x:f>'牛来BOM'!M27</x:f>
        <x:v>待实测</x:v>
      </x:c>
      <x:c r="K12" s="45" t="str">
        <x:f>IF('牛来BOM'!N27="","",'牛来BOM'!N27)</x:f>
      </x:c>
      <x:c r="L12" s="45" t="str">
        <x:f>IF('牛来BOM'!O27="","",'牛来BOM'!O27)</x:f>
      </x:c>
      <x:c r="M12" s="26" t="str">
        <x:f>'牛来BOM'!P27</x:f>
        <x:v>G1：充电截止、温升、接口防呆；比赛版不边充边跑</x:v>
      </x:c>
    </x:row>
    <x:row r="13" ht="36" customHeight="1">
      <x:c r="A13" s="38" t="n">
        <x:f>'牛来BOM'!A28</x:f>
        <x:v>23</x:v>
      </x:c>
      <x:c r="B13" s="38" t="str">
        <x:f>'牛来BOM'!J28</x:f>
        <x:v>自备</x:v>
      </x:c>
      <x:c r="C13" s="38" t="str">
        <x:f>'牛来BOM'!C28</x:f>
        <x:v>安全</x:v>
      </x:c>
      <x:c r="D13" s="38" t="str">
        <x:f>'牛来BOM'!D28</x:f>
        <x:v>锁存式实体急停按钮</x:v>
      </x:c>
      <x:c r="E13" s="26" t="str">
        <x:f>'牛来BOM'!E28</x:f>
        <x:v>直接切断执行器电源；逻辑保持上电记录原因</x:v>
      </x:c>
      <x:c r="F13" s="43" t="n">
        <x:f>'牛来BOM'!F28</x:f>
        <x:v>1</x:v>
      </x:c>
      <x:c r="G13" s="43" t="n">
        <x:f>'牛来BOM'!G28</x:f>
        <x:v>0</x:v>
      </x:c>
      <x:c r="H13" s="43" t="n">
        <x:f>'牛来BOM'!H28</x:f>
        <x:v>1</x:v>
      </x:c>
      <x:c r="I13" s="38" t="str">
        <x:f>'牛来BOM'!I28</x:f>
        <x:v>个</x:v>
      </x:c>
      <x:c r="J13" s="38" t="str">
        <x:f>'牛来BOM'!M28</x:f>
        <x:v>冻结</x:v>
      </x:c>
      <x:c r="K13" s="45" t="str">
        <x:f>IF('牛来BOM'!N28="","",'牛来BOM'!N28)</x:f>
      </x:c>
      <x:c r="L13" s="45" t="str">
        <x:f>IF('牛来BOM'!O28="","",'牛来BOM'!O28)</x:f>
      </x:c>
      <x:c r="M13" s="26" t="str">
        <x:f>'牛来BOM'!P28</x:f>
        <x:v>G1：运动中触发/复位各50次，目标≤100ms进入安全态</x:v>
      </x:c>
    </x:row>
    <x:row r="14" ht="36" customHeight="1">
      <x:c r="A14" s="38" t="n">
        <x:f>'牛来BOM'!A29</x:f>
        <x:v>24</x:v>
      </x:c>
      <x:c r="B14" s="38" t="str">
        <x:f>'牛来BOM'!J29</x:f>
        <x:v>自备</x:v>
      </x:c>
      <x:c r="C14" s="38" t="str">
        <x:f>'牛来BOM'!C29</x:f>
        <x:v>安全</x:v>
      </x:c>
      <x:c r="D14" s="38" t="str">
        <x:f>'牛来BOM'!D29</x:f>
        <x:v>保险丝及保险座</x:v>
      </x:c>
      <x:c r="E14" s="26" t="str">
        <x:f>'牛来BOM'!E29</x:f>
        <x:v>额定值按最终堵转与线路电流确定</x:v>
      </x:c>
      <x:c r="F14" s="43" t="n">
        <x:f>'牛来BOM'!F29</x:f>
        <x:v>1</x:v>
      </x:c>
      <x:c r="G14" s="43" t="n">
        <x:f>'牛来BOM'!G29</x:f>
        <x:v>0</x:v>
      </x:c>
      <x:c r="H14" s="43" t="n">
        <x:f>'牛来BOM'!H29</x:f>
        <x:v>1</x:v>
      </x:c>
      <x:c r="I14" s="38" t="str">
        <x:f>'牛来BOM'!I29</x:f>
        <x:v>套</x:v>
      </x:c>
      <x:c r="J14" s="38" t="str">
        <x:f>'牛来BOM'!M29</x:f>
        <x:v>待实测</x:v>
      </x:c>
      <x:c r="K14" s="45" t="str">
        <x:f>IF('牛来BOM'!N29="","",'牛来BOM'!N29)</x:f>
      </x:c>
      <x:c r="L14" s="45" t="str">
        <x:f>IF('牛来BOM'!O29="","",'牛来BOM'!O29)</x:f>
      </x:c>
      <x:c r="M14" s="26" t="str">
        <x:f>'牛来BOM'!P29</x:f>
        <x:v>G1：短时堵转与过流验证；不超过线材/接插件额定值</x:v>
      </x:c>
    </x:row>
    <x:row r="15" ht="36" customHeight="1">
      <x:c r="A15" s="38" t="n">
        <x:f>'牛来BOM'!A30</x:f>
        <x:v>25</x:v>
      </x:c>
      <x:c r="B15" s="38" t="str">
        <x:f>'牛来BOM'!J30</x:f>
        <x:v>自备</x:v>
      </x:c>
      <x:c r="C15" s="38" t="str">
        <x:f>'牛来BOM'!C30</x:f>
        <x:v>电源</x:v>
      </x:c>
      <x:c r="D15" s="38" t="str">
        <x:f>'牛来BOM'!D30</x:f>
        <x:v>主电源开关</x:v>
      </x:c>
      <x:c r="E15" s="26" t="str">
        <x:f>'牛来BOM'!E30</x:f>
        <x:v>整机总电源；额定电流与电池输出匹配</x:v>
      </x:c>
      <x:c r="F15" s="43" t="n">
        <x:f>'牛来BOM'!F30</x:f>
        <x:v>1</x:v>
      </x:c>
      <x:c r="G15" s="43" t="n">
        <x:f>'牛来BOM'!G30</x:f>
        <x:v>0</x:v>
      </x:c>
      <x:c r="H15" s="43" t="n">
        <x:f>'牛来BOM'!H30</x:f>
        <x:v>1</x:v>
      </x:c>
      <x:c r="I15" s="38" t="str">
        <x:f>'牛来BOM'!I30</x:f>
        <x:v>个</x:v>
      </x:c>
      <x:c r="J15" s="38" t="str">
        <x:f>'牛来BOM'!M30</x:f>
        <x:v>待实测</x:v>
      </x:c>
      <x:c r="K15" s="45" t="str">
        <x:f>IF('牛来BOM'!N30="","",'牛来BOM'!N30)</x:f>
      </x:c>
      <x:c r="L15" s="45" t="str">
        <x:f>IF('牛来BOM'!O30="","",'牛来BOM'!O30)</x:f>
      </x:c>
      <x:c r="M15" s="26" t="str">
        <x:f>'牛来BOM'!P30</x:f>
        <x:v>G1：带载通断、温升、误触与维护可达性</x:v>
      </x:c>
    </x:row>
    <x:row r="16" ht="36" customHeight="1">
      <x:c r="A16" s="38" t="n">
        <x:f>'牛来BOM'!A31</x:f>
        <x:v>26</x:v>
      </x:c>
      <x:c r="B16" s="38" t="str">
        <x:f>'牛来BOM'!J31</x:f>
        <x:v>自备</x:v>
      </x:c>
      <x:c r="C16" s="38" t="str">
        <x:f>'牛来BOM'!C31</x:f>
        <x:v>移动底盘</x:v>
      </x:c>
      <x:c r="D16" s="38" t="str">
        <x:f>'牛来BOM'!D31</x:f>
        <x:v>TT马达配套车轮</x:v>
      </x:c>
      <x:c r="E16" s="26" t="str">
        <x:f>'牛来BOM'!E31</x:f>
        <x:v>建议约65mm；最终轮径需与扭矩和壳体离地间隙联调</x:v>
      </x:c>
      <x:c r="F16" s="43" t="n">
        <x:f>'牛来BOM'!F31</x:f>
        <x:v>2</x:v>
      </x:c>
      <x:c r="G16" s="43" t="n">
        <x:f>'牛来BOM'!G31</x:f>
        <x:v>0</x:v>
      </x:c>
      <x:c r="H16" s="43" t="n">
        <x:f>'牛来BOM'!H31</x:f>
        <x:v>2</x:v>
      </x:c>
      <x:c r="I16" s="38" t="str">
        <x:f>'牛来BOM'!I31</x:f>
        <x:v>个</x:v>
      </x:c>
      <x:c r="J16" s="38" t="str">
        <x:f>'牛来BOM'!M31</x:f>
        <x:v>原型候选</x:v>
      </x:c>
      <x:c r="K16" s="45" t="str">
        <x:f>IF('牛来BOM'!N31="","",'牛来BOM'!N31)</x:f>
      </x:c>
      <x:c r="L16" s="45" t="str">
        <x:f>IF('牛来BOM'!O31="","",'牛来BOM'!O31)</x:f>
      </x:c>
      <x:c r="M16" s="26" t="str">
        <x:f>'牛来BOM'!P31</x:f>
        <x:v>G1：同轴度、打滑、急停、转弯和壳体干涉</x:v>
      </x:c>
    </x:row>
    <x:row r="17" ht="36" customHeight="1">
      <x:c r="A17" s="38" t="n">
        <x:f>'牛来BOM'!A32</x:f>
        <x:v>27</x:v>
      </x:c>
      <x:c r="B17" s="38" t="str">
        <x:f>'牛来BOM'!J32</x:f>
        <x:v>自备</x:v>
      </x:c>
      <x:c r="C17" s="38" t="str">
        <x:f>'牛来BOM'!C32</x:f>
        <x:v>移动底盘</x:v>
      </x:c>
      <x:c r="D17" s="38" t="str">
        <x:f>'牛来BOM'!D32</x:f>
        <x:v>后部滚珠轮/万向轮</x:v>
      </x:c>
      <x:c r="E17" s="26" t="str">
        <x:f>'牛来BOM'!E32</x:f>
        <x:v>与两驱轮组成稳定三点支撑</x:v>
      </x:c>
      <x:c r="F17" s="43" t="n">
        <x:f>'牛来BOM'!F32</x:f>
        <x:v>1</x:v>
      </x:c>
      <x:c r="G17" s="43" t="n">
        <x:f>'牛来BOM'!G32</x:f>
        <x:v>0</x:v>
      </x:c>
      <x:c r="H17" s="43" t="n">
        <x:f>'牛来BOM'!H32</x:f>
        <x:v>1</x:v>
      </x:c>
      <x:c r="I17" s="38" t="str">
        <x:f>'牛来BOM'!I32</x:f>
        <x:v>个</x:v>
      </x:c>
      <x:c r="J17" s="38" t="str">
        <x:f>'牛来BOM'!M32</x:f>
        <x:v>冻结</x:v>
      </x:c>
      <x:c r="K17" s="45" t="str">
        <x:f>IF('牛来BOM'!N32="","",'牛来BOM'!N32)</x:f>
      </x:c>
      <x:c r="L17" s="45" t="str">
        <x:f>IF('牛来BOM'!O32="","",'牛来BOM'!O32)</x:f>
      </x:c>
      <x:c r="M17" s="26" t="str">
        <x:f>'牛来BOM'!P32</x:f>
        <x:v>G1：接缝通过、转向阻力、防卡滞与急停稳定性</x:v>
      </x:c>
    </x:row>
    <x:row r="18" ht="36" customHeight="1">
      <x:c r="A18" s="38" t="n">
        <x:f>'牛来BOM'!A33</x:f>
        <x:v>28</x:v>
      </x:c>
      <x:c r="B18" s="38" t="str">
        <x:f>'牛来BOM'!J33</x:f>
        <x:v>3D打印</x:v>
      </x:c>
      <x:c r="C18" s="38" t="str">
        <x:f>'牛来BOM'!C33</x:f>
        <x:v>机械安全</x:v>
      </x:c>
      <x:c r="D18" s="38" t="str">
        <x:f>'牛来BOM'!D33</x:f>
        <x:v>前防倾支点</x:v>
      </x:c>
      <x:c r="E18" s="26" t="str">
        <x:f>'牛来BOM'!E33</x:f>
        <x:v>正常行驶不拖地，急停或前倾时先于外壳触地</x:v>
      </x:c>
      <x:c r="F18" s="43" t="n">
        <x:f>'牛来BOM'!F33</x:f>
        <x:v>1</x:v>
      </x:c>
      <x:c r="G18" s="43" t="n">
        <x:f>'牛来BOM'!G33</x:f>
        <x:v>0</x:v>
      </x:c>
      <x:c r="H18" s="43" t="n">
        <x:f>'牛来BOM'!H33</x:f>
        <x:v>1</x:v>
      </x:c>
      <x:c r="I18" s="38" t="str">
        <x:f>'牛来BOM'!I33</x:f>
        <x:v>个</x:v>
      </x:c>
      <x:c r="J18" s="38" t="str">
        <x:f>'牛来BOM'!M33</x:f>
        <x:v>冻结</x:v>
      </x:c>
      <x:c r="K18" s="45" t="str">
        <x:f>IF('牛来BOM'!N33="","",'牛来BOM'!N33)</x:f>
      </x:c>
      <x:c r="L18" s="45" t="str">
        <x:f>IF('牛来BOM'!O33="","",'牛来BOM'!O33)</x:f>
      </x:c>
      <x:c r="M18" s="26" t="str">
        <x:f>'牛来BOM'!P33</x:f>
        <x:v>G1/G3：最终重量假负载急停与转向各20次不倾倒</x:v>
      </x:c>
    </x:row>
    <x:row r="19" ht="36" customHeight="1">
      <x:c r="A19" s="38" t="n">
        <x:f>'牛来BOM'!A34</x:f>
        <x:v>29</x:v>
      </x:c>
      <x:c r="B19" s="38" t="str">
        <x:f>'牛来BOM'!J34</x:f>
        <x:v>自备</x:v>
      </x:c>
      <x:c r="C19" s="38" t="str">
        <x:f>'牛来BOM'!C34</x:f>
        <x:v>线束</x:v>
      </x:c>
      <x:c r="D19" s="38" t="str">
        <x:f>'牛来BOM'!D34</x:f>
        <x:v>锁止接插件与多规格线材套件</x:v>
      </x:c>
      <x:c r="E19" s="26" t="str">
        <x:f>'牛来BOM'!E34</x:f>
        <x:v>JST-XH/端子等；按电流分线径并做应力释放</x:v>
      </x:c>
      <x:c r="F19" s="43" t="n">
        <x:f>'牛来BOM'!F34</x:f>
        <x:v>1</x:v>
      </x:c>
      <x:c r="G19" s="43" t="n">
        <x:f>'牛来BOM'!G34</x:f>
        <x:v>0</x:v>
      </x:c>
      <x:c r="H19" s="43" t="n">
        <x:f>'牛来BOM'!H34</x:f>
        <x:v>1</x:v>
      </x:c>
      <x:c r="I19" s="38" t="str">
        <x:f>'牛来BOM'!I34</x:f>
        <x:v>套</x:v>
      </x:c>
      <x:c r="J19" s="38" t="str">
        <x:f>'牛来BOM'!M34</x:f>
        <x:v>待实测</x:v>
      </x:c>
      <x:c r="K19" s="45" t="str">
        <x:f>IF('牛来BOM'!N34="","",'牛来BOM'!N34)</x:f>
      </x:c>
      <x:c r="L19" s="45" t="str">
        <x:f>IF('牛来BOM'!O34="","",'牛来BOM'!O34)</x:f>
      </x:c>
      <x:c r="M19" s="26" t="str">
        <x:f>'牛来BOM'!P34</x:f>
        <x:v>G2：摇晃、装拆、拉力、反接防呆与温升检查</x:v>
      </x:c>
    </x:row>
    <x:row r="20" ht="36" customHeight="1">
      <x:c r="A20" s="38" t="n">
        <x:f>'牛来BOM'!A35</x:f>
        <x:v>30</x:v>
      </x:c>
      <x:c r="B20" s="38" t="str">
        <x:f>'牛来BOM'!J35</x:f>
        <x:v>自备</x:v>
      </x:c>
      <x:c r="C20" s="38" t="str">
        <x:f>'牛来BOM'!C35</x:f>
        <x:v>机械装配</x:v>
      </x:c>
      <x:c r="D20" s="38" t="str">
        <x:f>'牛来BOM'!D35</x:f>
        <x:v>M2/M3螺丝、螺母与垫片</x:v>
      </x:c>
      <x:c r="E20" s="26" t="str">
        <x:f>'牛来BOM'!E35</x:f>
        <x:v>覆盖舵机、主控、骨架、检修门和电池仓</x:v>
      </x:c>
      <x:c r="F20" s="43" t="n">
        <x:f>'牛来BOM'!F35</x:f>
        <x:v>1</x:v>
      </x:c>
      <x:c r="G20" s="43" t="n">
        <x:f>'牛来BOM'!G35</x:f>
        <x:v>0</x:v>
      </x:c>
      <x:c r="H20" s="43" t="n">
        <x:f>'牛来BOM'!H35</x:f>
        <x:v>1</x:v>
      </x:c>
      <x:c r="I20" s="38" t="str">
        <x:f>'牛来BOM'!I35</x:f>
        <x:v>套</x:v>
      </x:c>
      <x:c r="J20" s="38" t="str">
        <x:f>'牛来BOM'!M35</x:f>
        <x:v>冻结</x:v>
      </x:c>
      <x:c r="K20" s="45" t="str">
        <x:f>IF('牛来BOM'!N35="","",'牛来BOM'!N35)</x:f>
      </x:c>
      <x:c r="L20" s="45" t="str">
        <x:f>IF('牛来BOM'!O35="","",'牛来BOM'!O35)</x:f>
      </x:c>
      <x:c r="M20" s="26" t="str">
        <x:f>'牛来BOM'!P35</x:f>
        <x:v>G0：按实物孔位建立紧固件清单；完成3次无损装拆</x:v>
      </x:c>
    </x:row>
    <x:row r="21" ht="36" customHeight="1">
      <x:c r="A21" s="38" t="n">
        <x:f>'牛来BOM'!A36</x:f>
        <x:v>31</x:v>
      </x:c>
      <x:c r="B21" s="38" t="str">
        <x:f>'牛来BOM'!J36</x:f>
        <x:v>自备</x:v>
      </x:c>
      <x:c r="C21" s="38" t="str">
        <x:f>'牛来BOM'!C36</x:f>
        <x:v>机械装配</x:v>
      </x:c>
      <x:c r="D21" s="38" t="str">
        <x:f>'牛来BOM'!D36</x:f>
        <x:v>M2/M3热熔螺母</x:v>
      </x:c>
      <x:c r="E21" s="26" t="str">
        <x:f>'牛来BOM'!E36</x:f>
        <x:v>打印件反复装拆接口</x:v>
      </x:c>
      <x:c r="F21" s="43" t="n">
        <x:f>'牛来BOM'!F36</x:f>
        <x:v>1</x:v>
      </x:c>
      <x:c r="G21" s="43" t="n">
        <x:f>'牛来BOM'!G36</x:f>
        <x:v>0</x:v>
      </x:c>
      <x:c r="H21" s="43" t="n">
        <x:f>'牛来BOM'!H36</x:f>
        <x:v>1</x:v>
      </x:c>
      <x:c r="I21" s="38" t="str">
        <x:f>'牛来BOM'!I36</x:f>
        <x:v>套</x:v>
      </x:c>
      <x:c r="J21" s="38" t="str">
        <x:f>'牛来BOM'!M36</x:f>
        <x:v>冻结</x:v>
      </x:c>
      <x:c r="K21" s="45" t="str">
        <x:f>IF('牛来BOM'!N36="","",'牛来BOM'!N36)</x:f>
      </x:c>
      <x:c r="L21" s="45" t="str">
        <x:f>IF('牛来BOM'!O36="","",'牛来BOM'!O36)</x:f>
      </x:c>
      <x:c r="M21" s="26" t="str">
        <x:f>'牛来BOM'!P36</x:f>
        <x:v>G0/G2：先打印孔径试片，再冻结热熔孔参数</x:v>
      </x:c>
    </x:row>
    <x:row r="22" ht="36" customHeight="1">
      <x:c r="A22" s="38" t="n">
        <x:f>'牛来BOM'!A37</x:f>
        <x:v>32</x:v>
      </x:c>
      <x:c r="B22" s="38" t="str">
        <x:f>'牛来BOM'!J37</x:f>
        <x:v>自备</x:v>
      </x:c>
      <x:c r="C22" s="38" t="str">
        <x:f>'牛来BOM'!C37</x:f>
        <x:v>3D打印</x:v>
      </x:c>
      <x:c r="D22" s="38" t="str">
        <x:f>'牛来BOM'!D37</x:f>
        <x:v>PLA/PETG打印耗材</x:v>
      </x:c>
      <x:c r="E22" s="26" t="str">
        <x:f>'牛来BOM'!E37</x:f>
        <x:v>外观件优先PLA；电机座/舵机座等承力件优先PETG</x:v>
      </x:c>
      <x:c r="F22" s="43" t="n">
        <x:f>'牛来BOM'!F37</x:f>
        <x:v>1</x:v>
      </x:c>
      <x:c r="G22" s="43" t="n">
        <x:f>'牛来BOM'!G37</x:f>
        <x:v>0</x:v>
      </x:c>
      <x:c r="H22" s="43" t="n">
        <x:f>'牛来BOM'!H37</x:f>
        <x:v>1</x:v>
      </x:c>
      <x:c r="I22" s="38" t="str">
        <x:f>'牛来BOM'!I37</x:f>
        <x:v>套</x:v>
      </x:c>
      <x:c r="J22" s="38" t="str">
        <x:f>'牛来BOM'!M37</x:f>
        <x:v>冻结</x:v>
      </x:c>
      <x:c r="K22" s="45" t="str">
        <x:f>IF('牛来BOM'!N37="","",'牛来BOM'!N37)</x:f>
      </x:c>
      <x:c r="L22" s="45" t="str">
        <x:f>IF('牛来BOM'!O37="","",'牛来BOM'!O37)</x:f>
      </x:c>
      <x:c r="M22" s="26" t="str">
        <x:f>'牛来BOM'!P37</x:f>
        <x:v>G0：切片包络、关键接口试片、层间强度与温升检查</x:v>
      </x:c>
    </x:row>
    <x:row r="23" ht="36" customHeight="1">
      <x:c r="A23" s="38" t="n">
        <x:f>'牛来BOM'!A38</x:f>
        <x:v>33</x:v>
      </x:c>
      <x:c r="B23" s="38" t="str">
        <x:f>'牛来BOM'!J38</x:f>
        <x:v>3D打印</x:v>
      </x:c>
      <x:c r="C23" s="38" t="str">
        <x:f>'牛来BOM'!C38</x:f>
        <x:v>扩展结构</x:v>
      </x:c>
      <x:c r="D23" s="38" t="str">
        <x:f>'牛来BOM'!D38</x:f>
        <x:v>Insta360预留安装座</x:v>
      </x:c>
      <x:c r="E23" s="26" t="str">
        <x:f>'牛来BOM'!E38</x:f>
        <x:v>仅做加强区、螺纹/绑带接口和重心预留，不安装摄像机</x:v>
      </x:c>
      <x:c r="F23" s="43" t="n">
        <x:f>'牛来BOM'!F38</x:f>
        <x:v>1</x:v>
      </x:c>
      <x:c r="G23" s="43" t="n">
        <x:f>'牛来BOM'!G38</x:f>
        <x:v>0</x:v>
      </x:c>
      <x:c r="H23" s="43" t="n">
        <x:f>'牛来BOM'!H38</x:f>
        <x:v>1</x:v>
      </x:c>
      <x:c r="I23" s="38" t="str">
        <x:f>'牛来BOM'!I38</x:f>
        <x:v>个</x:v>
      </x:c>
      <x:c r="J23" s="38" t="str">
        <x:f>'牛来BOM'!M38</x:f>
        <x:v>P1可选</x:v>
      </x:c>
      <x:c r="K23" s="45" t="str">
        <x:f>IF('牛来BOM'!N38="","",'牛来BOM'!N38)</x:f>
      </x:c>
      <x:c r="L23" s="45" t="str">
        <x:f>IF('牛来BOM'!O38="","",'牛来BOM'!O38)</x:f>
      </x:c>
      <x:c r="M23" s="26" t="str">
        <x:f>'牛来BOM'!P38</x:f>
        <x:v>G2：CAD干涉、检修门可达性与重心检查</x:v>
      </x:c>
    </x:row>
    <x:row r="24" ht="36" customHeight="1">
      <x:c r="A24" s="39" t="n">
        <x:f>'牛来BOM'!A39</x:f>
        <x:v>34</x:v>
      </x:c>
      <x:c r="B24" s="39" t="str">
        <x:f>'牛来BOM'!J39</x:f>
        <x:v>未来升级</x:v>
      </x:c>
      <x:c r="C24" s="39" t="str">
        <x:f>'牛来BOM'!C39</x:f>
        <x:v>Sim2Real</x:v>
      </x:c>
      <x:c r="D24" s="39" t="str">
        <x:f>'牛来BOM'!D39</x:f>
        <x:v>带编码器减速电机或编码器套件</x:v>
      </x:c>
      <x:c r="E24" s="27" t="str">
        <x:f>'牛来BOM'!E39</x:f>
        <x:v>替换/改造普通TT马达，提供真实轮速反馈</x:v>
      </x:c>
      <x:c r="F24" s="46" t="n">
        <x:f>'牛来BOM'!F39</x:f>
        <x:v>2</x:v>
      </x:c>
      <x:c r="G24" s="46" t="n">
        <x:f>'牛来BOM'!G39</x:f>
        <x:v>0</x:v>
      </x:c>
      <x:c r="H24" s="46" t="n">
        <x:f>'牛来BOM'!H39</x:f>
        <x:v>2</x:v>
      </x:c>
      <x:c r="I24" s="39" t="str">
        <x:f>'牛来BOM'!I39</x:f>
        <x:v>个</x:v>
      </x:c>
      <x:c r="J24" s="39" t="str">
        <x:f>'牛来BOM'!M39</x:f>
        <x:v>升级项</x:v>
      </x:c>
      <x:c r="K24" s="48" t="str">
        <x:f>IF('牛来BOM'!N39="","",'牛来BOM'!N39)</x:f>
      </x:c>
      <x:c r="L24" s="48" t="str">
        <x:f>IF('牛来BOM'!O39="","",'牛来BOM'!O39)</x:f>
      </x:c>
      <x:c r="M24" s="27" t="str">
        <x:f>'牛来BOM'!P39</x:f>
        <x:v>升级门：编码器分辨率、轮速闭环、丢脉冲和低速控制验证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032a59fb7724b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2.5" hidden="0" customWidth="1"/>
    <x:col min="3" max="3" width="3" hidden="0" customWidth="1"/>
    <x:col min="4" max="4" width="16.25" hidden="0" customWidth="1"/>
    <x:col min="5" max="5" width="10" hidden="0" customWidth="1"/>
    <x:col min="6" max="6" width="3" hidden="0" customWidth="1"/>
    <x:col min="7" max="7" width="12.5" hidden="0" customWidth="1"/>
    <x:col min="8" max="8" width="10" hidden="0" customWidth="1"/>
  </x:cols>
  <x:sheetData>
    <x:row r="1" ht="28.5" customHeight="1">
      <x:c r="A1" s="4" t="str">
        <x:v>BOM 状态汇总</x:v>
      </x:c>
      <x:c r="B1" s="4"/>
      <x:c r="C1" s="4"/>
      <x:c r="D1" s="4"/>
      <x:c r="E1" s="4"/>
      <x:c r="F1" s="4"/>
      <x:c r="G1" s="4"/>
      <x:c r="H1" s="4"/>
    </x:row>
    <x:row r="2" ht="21" customHeight="1">
      <x:c r="A2" s="10" t="str">
        <x:v>所有指标均引用“牛来BOM”。预算只统计已填写单价且仍有待购数量的项目；当前空白预算不代表零成本。正式采购冻结必须完成G0实物确认和G1底盘/电源安全验证。</x:v>
      </x:c>
      <x:c r="B2" s="10"/>
      <x:c r="C2" s="10"/>
      <x:c r="D2" s="10"/>
      <x:c r="E2" s="10"/>
      <x:c r="F2" s="10"/>
      <x:c r="G2" s="10"/>
      <x:c r="H2" s="10"/>
    </x:row>
    <x:row r="3" ht="21" customHeight="1">
      <x:c r="A3" s="11"/>
      <x:c r="B3" s="11"/>
      <x:c r="C3" s="11"/>
      <x:c r="D3" s="11"/>
      <x:c r="E3" s="11"/>
      <x:c r="F3" s="11"/>
      <x:c r="G3" s="11"/>
      <x:c r="H3" s="11"/>
    </x:row>
    <x:row r="4" ht="7.5" customHeight="1"/>
    <x:row r="5">
      <x:c r="A5" s="49" t="str">
        <x:v>关键指标</x:v>
      </x:c>
      <x:c r="B5" s="49" t="str">
        <x:v>结果</x:v>
      </x:c>
      <x:c r="D5" s="49" t="str">
        <x:v>来源分类</x:v>
      </x:c>
      <x:c r="E5" s="49" t="str">
        <x:v>条目数</x:v>
      </x:c>
      <x:c r="G5" s="49" t="str">
        <x:v>优先级</x:v>
      </x:c>
      <x:c r="H5" s="49" t="str">
        <x:v>条目数</x:v>
      </x:c>
    </x:row>
    <x:row r="6">
      <x:c r="A6" s="51" t="str">
        <x:v>BOM总条目</x:v>
      </x:c>
      <x:c r="B6" s="64" t="n">
        <x:f>COUNTA('牛来BOM'!$D$6:$D$42)</x:f>
        <x:v>37</x:v>
      </x:c>
      <x:c r="D6" s="51" t="str">
        <x:v>比赛物料</x:v>
      </x:c>
      <x:c r="E6" s="54" t="n">
        <x:f>COUNTIF('牛来BOM'!$J$6:$J$42,D6)</x:f>
        <x:v>18</x:v>
      </x:c>
      <x:c r="G6" s="51" t="str">
        <x:v>P0</x:v>
      </x:c>
      <x:c r="H6" s="54" t="n">
        <x:f>COUNTIF('牛来BOM'!$B$6:$B$42,G6)</x:f>
        <x:v>29</x:v>
      </x:c>
    </x:row>
    <x:row r="7">
      <x:c r="A7" s="52" t="str">
        <x:v>P0条目</x:v>
      </x:c>
      <x:c r="B7" s="65" t="n">
        <x:f>COUNTIF('牛来BOM'!$B$6:$B$42,"P0")</x:f>
        <x:v>29</x:v>
      </x:c>
      <x:c r="D7" s="52" t="str">
        <x:v>自备</x:v>
      </x:c>
      <x:c r="E7" s="55" t="n">
        <x:f>COUNTIF('牛来BOM'!$J$6:$J$42,D7)</x:f>
        <x:v>16</x:v>
      </x:c>
      <x:c r="G7" s="52" t="str">
        <x:v>P1</x:v>
      </x:c>
      <x:c r="H7" s="55" t="n">
        <x:f>COUNTIF('牛来BOM'!$B$6:$B$42,G7)</x:f>
        <x:v>3</x:v>
      </x:c>
    </x:row>
    <x:row r="8">
      <x:c r="A8" s="52" t="str">
        <x:v>比赛物料条目</x:v>
      </x:c>
      <x:c r="B8" s="65" t="n">
        <x:f>COUNTIF('牛来BOM'!$J$6:$J$42,"比赛物料")</x:f>
        <x:v>18</x:v>
      </x:c>
      <x:c r="D8" s="52" t="str">
        <x:v>3D打印</x:v>
      </x:c>
      <x:c r="E8" s="55" t="n">
        <x:f>COUNTIF('牛来BOM'!$J$6:$J$42,D8)</x:f>
        <x:v>2</x:v>
      </x:c>
      <x:c r="G8" s="52" t="str">
        <x:v>升级</x:v>
      </x:c>
      <x:c r="H8" s="55" t="n">
        <x:f>COUNTIF('牛来BOM'!$B$6:$B$42,G8)</x:f>
        <x:v>2</x:v>
      </x:c>
    </x:row>
    <x:row r="9">
      <x:c r="A9" s="52" t="str">
        <x:v>自备条目</x:v>
      </x:c>
      <x:c r="B9" s="65" t="n">
        <x:f>COUNTIF('牛来BOM'!$J$6:$J$42,"自备")</x:f>
        <x:v>16</x:v>
      </x:c>
      <x:c r="D9" s="53" t="str">
        <x:v>未来升级</x:v>
      </x:c>
      <x:c r="E9" s="57" t="n">
        <x:f>COUNTIF('牛来BOM'!$J$6:$J$42,D9)</x:f>
        <x:v>1</x:v>
      </x:c>
      <x:c r="G9" s="53" t="str">
        <x:v>排除</x:v>
      </x:c>
      <x:c r="H9" s="57" t="n">
        <x:f>COUNTIF('牛来BOM'!$B$6:$B$42,G9)</x:f>
        <x:v>3</x:v>
      </x:c>
    </x:row>
    <x:row r="10">
      <x:c r="A10" s="52" t="str">
        <x:v>待实测/待选型</x:v>
      </x:c>
      <x:c r="B10" s="65" t="n">
        <x:f>COUNTIF('牛来BOM'!$M$6:$M$42,"首选待实测")+COUNTIF('牛来BOM'!$M$6:$M$42,"待实测")+COUNTIF('牛来BOM'!$M$6:$M$42,"待称重选型")</x:f>
        <x:v>13</x:v>
      </x:c>
    </x:row>
    <x:row r="11">
      <x:c r="A11" s="52" t="str">
        <x:v>排除项</x:v>
      </x:c>
      <x:c r="B11" s="65" t="n">
        <x:f>COUNTIF('牛来BOM'!$M$6:$M$42,"排除")</x:f>
        <x:v>3</x:v>
      </x:c>
    </x:row>
    <x:row r="12">
      <x:c r="A12" s="53" t="str">
        <x:v>当前预算总额（元）</x:v>
      </x:c>
      <x:c r="B12" s="66" t="n">
        <x:f>SUM('牛来BOM'!$O$6:$O$42)</x:f>
        <x:v>0</x:v>
      </x:c>
    </x:row>
    <x:row r="14">
      <x:c r="A14" s="68" t="str">
        <x:v>冻结前的四个动作</x:v>
      </x:c>
      <x:c r="B14" s="68"/>
      <x:c r="C14" s="68"/>
      <x:c r="D14" s="68"/>
      <x:c r="E14" s="68"/>
      <x:c r="F14" s="68"/>
      <x:c r="G14" s="68"/>
      <x:c r="H14" s="68"/>
    </x:row>
    <x:row r="15" ht="25.5" customHeight="1">
      <x:c r="A15" s="11" t="str">
        <x:v>1. G0：逐件拍照并记录型号、接口、电压、尺寸；原图编号只作领取索引。</x:v>
      </x:c>
      <x:c r="B15" s="11"/>
      <x:c r="C15" s="11"/>
      <x:c r="D15" s="11"/>
      <x:c r="E15" s="11"/>
      <x:c r="F15" s="11"/>
      <x:c r="G15" s="11"/>
      <x:c r="H15" s="11"/>
    </x:row>
    <x:row r="16" ht="25.5" customHeight="1">
      <x:c r="A16" s="73" t="str">
        <x:v>2. G1：用最终重量假负载测试TT马达、驱动、分路电源、急停、停止距离与温升。</x:v>
      </x:c>
      <x:c r="B16" s="73"/>
      <x:c r="C16" s="73"/>
      <x:c r="D16" s="73"/>
      <x:c r="E16" s="73"/>
      <x:c r="F16" s="73"/>
      <x:c r="G16" s="73"/>
      <x:c r="H16" s="73"/>
    </x:row>
    <x:row r="17" ht="25.5" customHeight="1">
      <x:c r="A17" s="73" t="str">
        <x:v>3. 头部称重后按力臂×2.5动态系数选择180°定位舵机；50号360°舵机不得替代。</x:v>
      </x:c>
      <x:c r="B17" s="73"/>
      <x:c r="C17" s="73"/>
      <x:c r="D17" s="73"/>
      <x:c r="E17" s="73"/>
      <x:c r="F17" s="73"/>
      <x:c r="G17" s="73"/>
      <x:c r="H17" s="73"/>
    </x:row>
    <x:row r="18" ht="25.5" customHeight="1">
      <x:c r="A18" s="74" t="str">
        <x:v>4. 若进入Sim2Real，再采购编码器或编码电机；策略只输出v/ω，安全层保留最终裁决。</x:v>
      </x:c>
      <x:c r="B18" s="74"/>
      <x:c r="C18" s="74"/>
      <x:c r="D18" s="74"/>
      <x:c r="E18" s="74"/>
      <x:c r="F18" s="74"/>
      <x:c r="G18" s="74"/>
      <x:c r="H18" s="74"/>
    </x:row>
  </x:sheetData>
  <x:mergeCells>
    <x:mergeCell ref="A1:H1"/>
    <x:mergeCell ref="A2:H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